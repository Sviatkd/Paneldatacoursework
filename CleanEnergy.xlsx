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cca3ab7b45e3c7/Documents/(No subject)/panel/"/>
    </mc:Choice>
  </mc:AlternateContent>
  <xr:revisionPtr revIDLastSave="13" documentId="13_ncr:1_{663782B3-17D2-4F63-94DE-95DD8631E074}" xr6:coauthVersionLast="47" xr6:coauthVersionMax="47" xr10:uidLastSave="{4B1EB7AA-3473-46EC-A4C6-0DB52CB70CA5}"/>
  <bookViews>
    <workbookView xWindow="-108" yWindow="-108" windowWidth="23256" windowHeight="12456" activeTab="3" xr2:uid="{00000000-000D-0000-FFFF-FFFF00000000}"/>
  </bookViews>
  <sheets>
    <sheet name="Data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8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9" i="4"/>
  <c r="D330" i="4"/>
  <c r="D331" i="4"/>
  <c r="D332" i="4"/>
  <c r="D333" i="4"/>
  <c r="D334" i="4"/>
  <c r="D335" i="4"/>
  <c r="D336" i="4"/>
  <c r="D337" i="4"/>
  <c r="D2" i="4"/>
  <c r="F43" i="1" l="1"/>
  <c r="G43" i="1"/>
  <c r="H43" i="1"/>
  <c r="I43" i="1"/>
  <c r="E43" i="1"/>
  <c r="M39" i="1" a="1"/>
  <c r="M39" i="1" s="1"/>
  <c r="P29" i="1"/>
  <c r="P30" i="1"/>
  <c r="P31" i="1"/>
  <c r="P32" i="1"/>
  <c r="P33" i="1"/>
  <c r="P34" i="1"/>
  <c r="P35" i="1"/>
  <c r="P28" i="1"/>
  <c r="O29" i="1"/>
  <c r="O30" i="1"/>
  <c r="O31" i="1"/>
  <c r="O32" i="1"/>
  <c r="O33" i="1"/>
  <c r="O34" i="1"/>
  <c r="O35" i="1"/>
  <c r="O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<sst xmlns="http://schemas.openxmlformats.org/spreadsheetml/2006/main" count="1473" uniqueCount="89">
  <si>
    <t>Data extracted on 04/02/2026 14:17:01 from [ESTAT]</t>
  </si>
  <si>
    <t xml:space="preserve">Dataset: </t>
  </si>
  <si>
    <t>Electricity prices components for household consumers - annual data (from 2007 onwards) [nrg_pc_204_c$defaultview]</t>
  </si>
  <si>
    <t xml:space="preserve">Last updated: </t>
  </si>
  <si>
    <t>27/10/2024 23:00</t>
  </si>
  <si>
    <t>Time frequency</t>
  </si>
  <si>
    <t>Energy consumption</t>
  </si>
  <si>
    <t>Components of energy prices</t>
  </si>
  <si>
    <t>Currency</t>
  </si>
  <si>
    <t>TIME</t>
  </si>
  <si>
    <t>2017</t>
  </si>
  <si>
    <t/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</si>
  <si>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</si>
  <si>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</si>
  <si>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</si>
  <si>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</si>
  <si>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</si>
  <si>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</si>
  <si>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</si>
  <si>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</si>
  <si>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European Union - 27 countries (from 2020)</t>
  </si>
  <si>
    <t>Euro area (EA11-1999, EA12-2001, EA13-2007, EA15-2008, EA16-2009, EA17-2011, EA18-2014, EA19-2015, EA20-2023, EA21-2026)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</si>
  <si>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</si>
  <si>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</si>
  <si>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</si>
  <si>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</si>
  <si>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</si>
  <si>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</si>
  <si>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</si>
  <si>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</si>
  <si>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</si>
  <si>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d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</si>
  <si>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</si>
  <si>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</si>
  <si>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</si>
  <si>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</si>
  <si>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</si>
  <si>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</si>
  <si>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</si>
  <si>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</si>
  <si>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</si>
  <si>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</si>
  <si>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</si>
  <si>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</si>
  <si>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</si>
  <si>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</si>
  <si>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</si>
  <si>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</si>
  <si>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</si>
  <si>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</si>
  <si>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</si>
  <si>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</si>
  <si>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</si>
  <si>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United Kingdom</t>
  </si>
  <si>
    <t>:</t>
  </si>
  <si>
    <t>Bosnia and Herzegovina</t>
  </si>
  <si>
    <t>Montenegro</t>
  </si>
  <si>
    <t>Moldova</t>
  </si>
  <si>
    <t>North Macedonia</t>
  </si>
  <si>
    <t>Georgia</t>
  </si>
  <si>
    <t>e</t>
  </si>
  <si>
    <t>Albania</t>
  </si>
  <si>
    <t>u</t>
  </si>
  <si>
    <t>Serbia</t>
  </si>
  <si>
    <t>Türkiye</t>
  </si>
  <si>
    <t>Ukraine</t>
  </si>
  <si>
    <t>Kosovo*</t>
  </si>
  <si>
    <t>Special value</t>
  </si>
  <si>
    <t>not available</t>
  </si>
  <si>
    <t>Observation flags:</t>
  </si>
  <si>
    <t>definition differs (see metadata)</t>
  </si>
  <si>
    <t>estimated</t>
  </si>
  <si>
    <t>low reliability</t>
  </si>
  <si>
    <t>n</t>
  </si>
  <si>
    <t>not significant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</si>
  <si>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</si>
  <si>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</si>
  <si>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</si>
  <si>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</si>
  <si>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</si>
  <si>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</si>
  <si>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</si>
  <si>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</si>
  <si>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</si>
  <si>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Country/Year</t>
  </si>
  <si>
    <t>Energyprice</t>
  </si>
  <si>
    <t>Country</t>
  </si>
  <si>
    <t>Year</t>
  </si>
  <si>
    <t>Crisis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</si>
</sst>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000"/>
  </numFmts>
  <fonts count="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5" borderId="0" xfId="0" applyFill="1"/>
    <xf numFmtId="3" fontId="3" fillId="0" borderId="0" xfId="0" applyNumberFormat="1" applyFont="1" applyAlignment="1">
      <alignment horizontal="right" vertical="center" shrinkToFit="1"/>
    </xf>
    <xf numFmtId="3" fontId="3" fillId="6" borderId="0" xfId="0" applyNumberFormat="1" applyFont="1" applyFill="1" applyAlignment="1">
      <alignment horizontal="right" vertical="center" shrinkToFit="1"/>
    </xf>
    <xf numFmtId="164" fontId="3" fillId="0" borderId="0" xfId="0" applyNumberFormat="1" applyFont="1" applyAlignment="1">
      <alignment horizontal="right" vertical="center" shrinkToFit="1"/>
    </xf>
    <xf numFmtId="164" fontId="3" fillId="6" borderId="0" xfId="0" applyNumberFormat="1" applyFont="1" applyFill="1" applyAlignment="1">
      <alignment horizontal="right" vertical="center" shrinkToFit="1"/>
    </xf>
    <xf numFmtId="165" fontId="3" fillId="0" borderId="0" xfId="0" applyNumberFormat="1" applyFont="1" applyAlignment="1">
      <alignment horizontal="right" vertical="center" shrinkToFit="1"/>
    </xf>
    <xf numFmtId="165" fontId="3" fillId="6" borderId="0" xfId="0" applyNumberFormat="1" applyFont="1" applyFill="1" applyAlignment="1">
      <alignment horizontal="right" vertical="center" shrinkToFit="1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1" fillId="7" borderId="2" xfId="0" applyFont="1" applyFill="1" applyBorder="1"/>
    <xf numFmtId="0" fontId="1" fillId="7" borderId="3" xfId="0" applyFont="1" applyFill="1" applyBorder="1"/>
    <xf numFmtId="0" fontId="1" fillId="7" borderId="4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Energy</a:t>
            </a:r>
            <a:r>
              <a:rPr lang="en-GB" baseline="0"/>
              <a:t> Prices in (Euro/kw)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Sheet1!$A$9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Sheet1!$B$9:$I$9</c:f>
              <c:numCache>
                <c:formatCode>General</c:formatCode>
                <c:ptCount val="8"/>
                <c:pt idx="0">
                  <c:v>0.12609999999999999</c:v>
                </c:pt>
                <c:pt idx="1">
                  <c:v>0.12670000000000001</c:v>
                </c:pt>
                <c:pt idx="2">
                  <c:v>9.2499999999999999E-2</c:v>
                </c:pt>
                <c:pt idx="3">
                  <c:v>0.12130000000000001</c:v>
                </c:pt>
                <c:pt idx="4">
                  <c:v>0.121</c:v>
                </c:pt>
                <c:pt idx="5">
                  <c:v>0.18459999999999999</c:v>
                </c:pt>
                <c:pt idx="6">
                  <c:v>0.25159999999999999</c:v>
                </c:pt>
                <c:pt idx="7">
                  <c:v>0.21529999999999999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B-49CE-A8AD-F6D979687554}"/>
            </c:ext>
          </c:extLst>
        </c:ser>
        <c:ser>
          <c:idx val="1"/>
          <c:order val="1"/>
          <c:tx>
            <c:strRef>
              <c:f>Sheet1!$A$14</c:f>
              <c:strCache>
                <c:ptCount val="1"/>
                <c:pt idx="0">
                  <c:v>France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Sheet1!$B$14:$I$14</c:f>
              <c:numCache>
                <c:formatCode>General</c:formatCode>
                <c:ptCount val="8"/>
                <c:pt idx="0">
                  <c:v>0.1195</c:v>
                </c:pt>
                <c:pt idx="1">
                  <c:v>0.1326</c:v>
                </c:pt>
                <c:pt idx="2">
                  <c:v>0.11269999999999999</c:v>
                </c:pt>
                <c:pt idx="3">
                  <c:v>0.12859999999999999</c:v>
                </c:pt>
                <c:pt idx="4">
                  <c:v>0.1242</c:v>
                </c:pt>
                <c:pt idx="5">
                  <c:v>0.16400000000000001</c:v>
                </c:pt>
                <c:pt idx="6">
                  <c:v>0.19450000000000001</c:v>
                </c:pt>
                <c:pt idx="7">
                  <c:v>0.20569999999999999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8B-49CE-A8AD-F6D979687554}"/>
            </c:ext>
          </c:extLst>
        </c:ser>
        <c:ser>
          <c:idx val="2"/>
          <c:order val="2"/>
          <c:tx>
            <c:strRef>
              <c:f>Sheet1!$A$35</c:f>
              <c:strCache>
                <c:ptCount val="1"/>
                <c:pt idx="0">
                  <c:v>United Kingdom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Sheet1!$B$35:$I$35</c:f>
              <c:numCache>
                <c:formatCode>General</c:formatCode>
                <c:ptCount val="8"/>
                <c:pt idx="0">
                  <c:v>0.12670000000000001</c:v>
                </c:pt>
                <c:pt idx="1">
                  <c:v>0.13819999999999999</c:v>
                </c:pt>
                <c:pt idx="2">
                  <c:v>0.1469</c:v>
                </c:pt>
                <c:pt idx="3">
                  <c:v>0.16363200000000003</c:v>
                </c:pt>
                <c:pt idx="4">
                  <c:v>0.18861600000000001</c:v>
                </c:pt>
                <c:pt idx="5">
                  <c:v>0.271791</c:v>
                </c:pt>
                <c:pt idx="6">
                  <c:v>0.33119999999999999</c:v>
                </c:pt>
                <c:pt idx="7">
                  <c:v>0.307508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8B-49CE-A8AD-F6D97968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539215"/>
        <c:axId val="483551695"/>
      </c:lineChart>
      <c:catAx>
        <c:axId val="48353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51695"/>
        <c:crosses val="autoZero"/>
        <c:auto val="1"/>
        <c:lblAlgn val="ctr"/>
        <c:lblOffset val="100"/>
        <c:noMultiLvlLbl val="0"/>
      </c:catAx>
      <c:valAx>
        <c:axId val="48355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3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/>
          </a:p>
        </c:rich>
      </c:tx>
      <c:layout>
        <c:manualLayout>
          <c:xMode val="edge"/>
          <c:yMode val="edge"/>
          <c:x val="0.43019234260430222"/>
          <c:y val="2.2805017103762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Sheet1!$A$9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Sheet1!$B$9:$I$9</c:f>
              <c:numCache>
                <c:formatCode>General</c:formatCode>
                <c:ptCount val="8"/>
                <c:pt idx="0">
                  <c:v>0.12609999999999999</c:v>
                </c:pt>
                <c:pt idx="1">
                  <c:v>0.12670000000000001</c:v>
                </c:pt>
                <c:pt idx="2">
                  <c:v>9.2499999999999999E-2</c:v>
                </c:pt>
                <c:pt idx="3">
                  <c:v>0.12130000000000001</c:v>
                </c:pt>
                <c:pt idx="4">
                  <c:v>0.121</c:v>
                </c:pt>
                <c:pt idx="5">
                  <c:v>0.18459999999999999</c:v>
                </c:pt>
                <c:pt idx="6">
                  <c:v>0.25159999999999999</c:v>
                </c:pt>
                <c:pt idx="7">
                  <c:v>0.21529999999999999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60-4B6F-A026-41B17F0EB3F9}"/>
            </c:ext>
          </c:extLst>
        </c:ser>
        <c:ser>
          <c:idx val="1"/>
          <c:order val="1"/>
          <c:tx>
            <c:strRef>
              <c:f>Sheet1!$A$14</c:f>
              <c:strCache>
                <c:ptCount val="1"/>
                <c:pt idx="0">
                  <c:v>France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Sheet1!$B$14:$I$14</c:f>
              <c:numCache>
                <c:formatCode>General</c:formatCode>
                <c:ptCount val="8"/>
                <c:pt idx="0">
                  <c:v>0.1195</c:v>
                </c:pt>
                <c:pt idx="1">
                  <c:v>0.1326</c:v>
                </c:pt>
                <c:pt idx="2">
                  <c:v>0.11269999999999999</c:v>
                </c:pt>
                <c:pt idx="3">
                  <c:v>0.12859999999999999</c:v>
                </c:pt>
                <c:pt idx="4">
                  <c:v>0.1242</c:v>
                </c:pt>
                <c:pt idx="5">
                  <c:v>0.16400000000000001</c:v>
                </c:pt>
                <c:pt idx="6">
                  <c:v>0.19450000000000001</c:v>
                </c:pt>
                <c:pt idx="7">
                  <c:v>0.20569999999999999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60-4B6F-A026-41B17F0EB3F9}"/>
            </c:ext>
          </c:extLst>
        </c:ser>
        <c:ser>
          <c:idx val="2"/>
          <c:order val="2"/>
          <c:tx>
            <c:strRef>
              <c:f>Sheet1!$A$16</c:f>
              <c:strCache>
                <c:ptCount val="1"/>
                <c:pt idx="0">
                  <c:v>Italy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Sheet1!$B$16:$I$16</c:f>
              <c:numCache>
                <c:formatCode>General</c:formatCode>
                <c:ptCount val="8"/>
                <c:pt idx="0">
                  <c:v>0.13780000000000001</c:v>
                </c:pt>
                <c:pt idx="1">
                  <c:v>0.1434</c:v>
                </c:pt>
                <c:pt idx="2">
                  <c:v>0.15479999999999999</c:v>
                </c:pt>
                <c:pt idx="3">
                  <c:v>0.16089999999999999</c:v>
                </c:pt>
                <c:pt idx="4">
                  <c:v>0.18629999999999999</c:v>
                </c:pt>
                <c:pt idx="5">
                  <c:v>0.33239999999999997</c:v>
                </c:pt>
                <c:pt idx="6">
                  <c:v>0.31240000000000001</c:v>
                </c:pt>
                <c:pt idx="7">
                  <c:v>0.27579999999999999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60-4B6F-A026-41B17F0EB3F9}"/>
            </c:ext>
          </c:extLst>
        </c:ser>
        <c:ser>
          <c:idx val="3"/>
          <c:order val="3"/>
          <c:tx>
            <c:strRef>
              <c:f>Sheet1!$A$24</c:f>
              <c:strCache>
                <c:ptCount val="1"/>
                <c:pt idx="0">
                  <c:v>Austria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Sheet1!$B$24:$I$24</c:f>
              <c:numCache>
                <c:formatCode>General</c:formatCode>
                <c:ptCount val="8"/>
                <c:pt idx="0">
                  <c:v>0.08</c:v>
                </c:pt>
                <c:pt idx="1">
                  <c:v>8.3199999999999996E-2</c:v>
                </c:pt>
                <c:pt idx="2">
                  <c:v>9.11E-2</c:v>
                </c:pt>
                <c:pt idx="3">
                  <c:v>9.8900000000000002E-2</c:v>
                </c:pt>
                <c:pt idx="4">
                  <c:v>0.10050000000000001</c:v>
                </c:pt>
                <c:pt idx="5">
                  <c:v>0.15210000000000001</c:v>
                </c:pt>
                <c:pt idx="6">
                  <c:v>0.25869999999999999</c:v>
                </c:pt>
                <c:pt idx="7">
                  <c:v>0.24360000000000001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60-4B6F-A026-41B17F0EB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3548335"/>
        <c:axId val="483549295"/>
      </c:lineChart>
      <c:catAx>
        <c:axId val="4835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49295"/>
        <c:crosses val="autoZero"/>
        <c:auto val="1"/>
        <c:lblAlgn val="ctr"/>
        <c:lblOffset val="100"/>
        <c:noMultiLvlLbl val="0"/>
      </c:catAx>
      <c:valAx>
        <c:axId val="48354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4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335280</xdr:colOff>
      <xdr:row>2</xdr:row>
      <xdr:rowOff>72390</xdr:rowOff>
    </xdr:from>
    <xdr:to>
      <xdr:col>19</xdr:col>
      <xdr:colOff>274320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86CD80-1A3F-3077-14DC-74FAA820D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18</xdr:row>
      <xdr:rowOff>148590</xdr:rowOff>
    </xdr:from>
    <xdr:to>
      <xdr:col>20</xdr:col>
      <xdr:colOff>289560</xdr:colOff>
      <xdr:row>37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BAC805-77E5-0B2A-E33E-2FE8D9E90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4356F0-66C3-4CB3-AB7B-11F44E2DF09E}" name="Table1" displayName="Table1" ref="A1:I44" totalsRowShown="0">
  <autoFilter ref="A1:I44" xr:uid="{6C4356F0-66C3-4CB3-AB7B-11F44E2DF09E}"/>
  <tableColumns count="9">
    <tableColumn id="1" xr3:uid="{A5BBC56B-1490-4693-BF0E-BFA89A1A3C24}" name="Column1"/>
    <tableColumn id="2" xr3:uid="{92C646CF-D0E0-4554-AC63-EAA46CF29792}" name="Column2"/>
    <tableColumn id="3" xr3:uid="{33F0DD53-C4E7-4A86-A643-A664036D70F8}" name="Column3"/>
    <tableColumn id="4" xr3:uid="{C7DD4689-6564-4C3F-AA62-5ACD5354A7E9}" name="Column4"/>
    <tableColumn id="5" xr3:uid="{21932693-4DAB-4A1E-8DA5-E7FBC0ADF43F}" name="Column5"/>
    <tableColumn id="6" xr3:uid="{8E3287B6-DC90-4156-A185-EB6D1FF4345A}" name="Column6"/>
    <tableColumn id="7" xr3:uid="{A472F998-B16E-4233-9E9C-4E688ECBF360}" name="Column7"/>
    <tableColumn id="8" xr3:uid="{9E0695F5-5F2E-476E-98F9-CDC65F74973B}" name="Column8"/>
    <tableColumn id="9" xr3:uid="{1690C17F-9A51-4333-A42E-D390059E3785}" name="Column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8DCC25-D370-417E-9BBE-73BD9D8916EA}" name="Table2" displayName="Table2" ref="A1:D337" totalsRowShown="0">
  <autoFilter ref="A1:D337" xr:uid="{9E8DCC25-D370-417E-9BBE-73BD9D8916EA}"/>
  <tableColumns count="4">
    <tableColumn id="1" xr3:uid="{A8C8DD73-D040-4200-AAF9-BA0FA90C936C}" name="Energyprice" dataDxfId="2"/>
    <tableColumn id="2" xr3:uid="{24E678B7-94E2-4D29-A94B-36957C07BE64}" name="Country" dataDxfId="1"/>
    <tableColumn id="3" xr3:uid="{D29996FC-E58F-45AF-BE43-25EB7A48DF9D}" name="Year"/>
    <tableColumn id="4" xr3:uid="{64EB60D2-8D28-4F8C-A920-367D682BA35A}" name="Crisis" dataDxfId="0">
      <calculatedColumnFormula>IF(C2&gt;5,1,0)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9"/>
  <sheetViews>
    <sheetView topLeftCell="A10" workbookViewId="0">
      <selection activeCell="J39" sqref="J39"/>
    </sheetView>
  </sheetViews>
  <sheetFormatPr defaultRowHeight="11.4" customHeight="1" x14ac:dyDescent="0.3"/>
  <cols>
    <col min="1" max="1" width="29.88671875" customWidth="1"/>
    <col min="2" max="2" width="9.88671875" customWidth="1"/>
    <col min="3" max="9" width="10" customWidth="1"/>
  </cols>
  <sheetData>
    <row r="1" spans="1:9" ht="14.4" x14ac:dyDescent="0.3">
      <c r="A1" s="2" t="s">
        <v>0</v>
      </c>
    </row>
    <row r="2" spans="1:9" ht="14.4" x14ac:dyDescent="0.3">
      <c r="A2" s="2" t="s">
        <v>1</v>
      </c>
      <c r="B2" s="1" t="s">
        <v>2</v>
      </c>
    </row>
    <row r="3" spans="1:9" ht="14.4" x14ac:dyDescent="0.3">
      <c r="A3" s="2" t="s">
        <v>3</v>
      </c>
      <c r="B3" s="2" t="s">
        <v>4</v>
      </c>
    </row>
    <row r="4" spans="1:9" ht="14.4" x14ac:dyDescent="0.3"/>
    <row r="5" spans="1:9" ht="14.4" x14ac:dyDescent="0.3">
      <c r="A5" s="1" t="s">
        <v>5</v>
      </c>
    </row>
    <row r="6" spans="1:9" ht="14.4" x14ac:dyDescent="0.3">
      <c r="A6" s="1" t="s">
        <v>6</v>
      </c>
    </row>
    <row r="7" spans="1:9" ht="14.4" x14ac:dyDescent="0.3">
      <c r="A7" s="1" t="s">
        <v>7</v>
      </c>
    </row>
    <row r="8" spans="1:9" ht="14.4" x14ac:dyDescent="0.3">
      <c r="A8" s="1" t="s">
        <v>8</v>
      </c>
    </row>
    <row r="9" spans="1:9" ht="14.4" x14ac:dyDescent="0.3"/>
    <row r="10" spans="1:9" ht="14.4" x14ac:dyDescent="0.3">
      <c r="A10" s="4" t="s">
        <v>9</v>
      </c>
      <c r="B10" s="14" t="s">
        <v>10</v>
      </c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</row>
    <row r="11" spans="1:9" ht="14.4" x14ac:dyDescent="0.3">
      <c r="A11" s="6" t="s">
        <v>20</v>
      </c>
      <c r="B11" s="11">
        <v>0.12659999999999999</v>
      </c>
      <c r="C11" s="11">
        <v>0.13519999999999999</v>
      </c>
      <c r="D11" s="11">
        <v>0.1091</v>
      </c>
      <c r="E11" s="11">
        <v>0.1168</v>
      </c>
      <c r="F11" s="11">
        <v>0.13059999999999999</v>
      </c>
      <c r="G11" s="11">
        <v>0.19750000000000001</v>
      </c>
      <c r="H11" s="11">
        <v>0.21579999999999999</v>
      </c>
      <c r="I11" s="11">
        <v>0.1953</v>
      </c>
    </row>
    <row r="12" spans="1:9" ht="14.4" x14ac:dyDescent="0.3">
      <c r="A12" s="6" t="s">
        <v>21</v>
      </c>
      <c r="B12" s="10">
        <v>0.14419999999999999</v>
      </c>
      <c r="C12" s="10">
        <v>0.15379999999999999</v>
      </c>
      <c r="D12" s="12">
        <v>0.12</v>
      </c>
      <c r="E12" s="10">
        <v>0.13059999999999999</v>
      </c>
      <c r="F12" s="10">
        <v>0.1386</v>
      </c>
      <c r="G12" s="10">
        <v>0.21579999999999999</v>
      </c>
      <c r="H12" s="10">
        <v>0.2379</v>
      </c>
      <c r="I12" s="10">
        <v>0.21560000000000001</v>
      </c>
    </row>
    <row r="13" spans="1:9" ht="14.4" x14ac:dyDescent="0.3">
      <c r="A13" s="6" t="s">
        <v>22</v>
      </c>
      <c r="B13" s="11">
        <v>0.13350000000000001</v>
      </c>
      <c r="C13" s="11">
        <v>0.14119999999999999</v>
      </c>
      <c r="D13" s="11">
        <v>0.16470000000000001</v>
      </c>
      <c r="E13" s="11">
        <v>0.1434</v>
      </c>
      <c r="F13" s="11">
        <v>0.1288</v>
      </c>
      <c r="G13" s="11">
        <v>0.30259999999999998</v>
      </c>
      <c r="H13" s="11">
        <v>0.2495</v>
      </c>
      <c r="I13" s="13">
        <v>0.19600000000000001</v>
      </c>
    </row>
    <row r="14" spans="1:9" ht="14.4" x14ac:dyDescent="0.3">
      <c r="A14" s="6" t="s">
        <v>23</v>
      </c>
      <c r="B14" s="10">
        <v>5.9499999999999997E-2</v>
      </c>
      <c r="C14" s="12">
        <v>0.06</v>
      </c>
      <c r="D14" s="10">
        <v>5.9499999999999997E-2</v>
      </c>
      <c r="E14" s="10">
        <v>6.0600000000000001E-2</v>
      </c>
      <c r="F14" s="12">
        <v>6.4000000000000001E-2</v>
      </c>
      <c r="G14" s="10">
        <v>5.7700000000000001E-2</v>
      </c>
      <c r="H14" s="10">
        <v>5.62E-2</v>
      </c>
      <c r="I14" s="10">
        <v>6.9099999999999995E-2</v>
      </c>
    </row>
    <row r="15" spans="1:9" ht="14.4" x14ac:dyDescent="0.3">
      <c r="A15" s="6" t="s">
        <v>24</v>
      </c>
      <c r="B15" s="11">
        <v>0.1094</v>
      </c>
      <c r="C15" s="11">
        <v>0.1128</v>
      </c>
      <c r="D15" s="11">
        <v>0.13170000000000001</v>
      </c>
      <c r="E15" s="11">
        <v>0.13589999999999999</v>
      </c>
      <c r="F15" s="13">
        <v>0.17100000000000001</v>
      </c>
      <c r="G15" s="11">
        <v>0.2024</v>
      </c>
      <c r="H15" s="11">
        <v>0.28670000000000001</v>
      </c>
      <c r="I15" s="11">
        <v>0.25940000000000002</v>
      </c>
    </row>
    <row r="16" spans="1:9" ht="14.4" x14ac:dyDescent="0.3">
      <c r="A16" s="6" t="s">
        <v>25</v>
      </c>
      <c r="B16" s="10">
        <v>3.8800000000000001E-2</v>
      </c>
      <c r="C16" s="10">
        <v>5.0299999999999997E-2</v>
      </c>
      <c r="D16" s="10">
        <v>5.3900000000000003E-2</v>
      </c>
      <c r="E16" s="10">
        <v>4.0899999999999999E-2</v>
      </c>
      <c r="F16" s="10">
        <v>7.4700000000000003E-2</v>
      </c>
      <c r="G16" s="10">
        <v>0.24340000000000001</v>
      </c>
      <c r="H16" s="10">
        <v>0.16450000000000001</v>
      </c>
      <c r="I16" s="10">
        <v>0.1082</v>
      </c>
    </row>
    <row r="17" spans="1:17" ht="14.4" x14ac:dyDescent="0.3">
      <c r="A17" s="6" t="s">
        <v>26</v>
      </c>
      <c r="B17" s="11">
        <v>0.12609999999999999</v>
      </c>
      <c r="C17" s="11">
        <v>0.12670000000000001</v>
      </c>
      <c r="D17" s="11">
        <v>9.2499999999999999E-2</v>
      </c>
      <c r="E17" s="11">
        <v>0.12130000000000001</v>
      </c>
      <c r="F17" s="13">
        <v>0.121</v>
      </c>
      <c r="G17" s="11">
        <v>0.18459999999999999</v>
      </c>
      <c r="H17" s="11">
        <v>0.25159999999999999</v>
      </c>
      <c r="I17" s="11">
        <v>0.21529999999999999</v>
      </c>
    </row>
    <row r="18" spans="1:17" ht="14.4" x14ac:dyDescent="0.3">
      <c r="A18" s="6" t="s">
        <v>27</v>
      </c>
      <c r="B18" s="12">
        <v>4.2999999999999997E-2</v>
      </c>
      <c r="C18" s="10">
        <v>5.3100000000000001E-2</v>
      </c>
      <c r="D18" s="10">
        <v>5.7500000000000002E-2</v>
      </c>
      <c r="E18" s="10">
        <v>5.3100000000000001E-2</v>
      </c>
      <c r="F18" s="10">
        <v>8.2699999999999996E-2</v>
      </c>
      <c r="G18" s="10">
        <v>0.1391</v>
      </c>
      <c r="H18" s="10">
        <v>0.1444</v>
      </c>
      <c r="I18" s="10">
        <v>0.13969999999999999</v>
      </c>
    </row>
    <row r="19" spans="1:17" ht="14.4" x14ac:dyDescent="0.3">
      <c r="A19" s="6" t="s">
        <v>28</v>
      </c>
      <c r="B19" s="11">
        <v>0.16250000000000001</v>
      </c>
      <c r="C19" s="11">
        <v>0.14960000000000001</v>
      </c>
      <c r="D19" s="11">
        <v>0.16589999999999999</v>
      </c>
      <c r="E19" s="11">
        <v>0.1137</v>
      </c>
      <c r="F19" s="11">
        <v>0.15809999999999999</v>
      </c>
      <c r="G19" s="13">
        <v>0.28399999999999997</v>
      </c>
      <c r="H19" s="11">
        <v>0.42259999999999998</v>
      </c>
      <c r="I19" s="11">
        <v>0.32169999999999999</v>
      </c>
    </row>
    <row r="20" spans="1:17" ht="14.4" x14ac:dyDescent="0.3">
      <c r="A20" s="6" t="s">
        <v>29</v>
      </c>
      <c r="B20" s="12">
        <v>9.9000000000000005E-2</v>
      </c>
      <c r="C20" s="10">
        <v>0.1153</v>
      </c>
      <c r="D20" s="10">
        <v>0.1206</v>
      </c>
      <c r="E20" s="10">
        <v>0.1308</v>
      </c>
      <c r="F20" s="10">
        <v>0.1542</v>
      </c>
      <c r="G20" s="10">
        <v>0.38490000000000002</v>
      </c>
      <c r="H20" s="10">
        <v>0.3231</v>
      </c>
      <c r="I20" s="10">
        <v>0.26879999999999998</v>
      </c>
    </row>
    <row r="21" spans="1:17" ht="14.4" x14ac:dyDescent="0.3">
      <c r="A21" s="6" t="s">
        <v>30</v>
      </c>
      <c r="B21" s="11">
        <v>0.30940000000000001</v>
      </c>
      <c r="C21" s="11">
        <v>0.33119999999999999</v>
      </c>
      <c r="D21" s="11">
        <v>0.15210000000000001</v>
      </c>
      <c r="E21" s="13">
        <v>0.14299999999999999</v>
      </c>
      <c r="F21" s="11">
        <v>0.16470000000000001</v>
      </c>
      <c r="G21" s="11">
        <v>0.2329</v>
      </c>
      <c r="H21" s="11">
        <v>0.18260000000000001</v>
      </c>
      <c r="I21" s="13">
        <v>0.16600000000000001</v>
      </c>
    </row>
    <row r="22" spans="1:17" ht="14.4" x14ac:dyDescent="0.3">
      <c r="A22" s="6" t="s">
        <v>32</v>
      </c>
      <c r="B22" s="10">
        <v>0.1195</v>
      </c>
      <c r="C22" s="10">
        <v>0.1326</v>
      </c>
      <c r="D22" s="10">
        <v>0.11269999999999999</v>
      </c>
      <c r="E22" s="10">
        <v>0.12859999999999999</v>
      </c>
      <c r="F22" s="10">
        <v>0.1242</v>
      </c>
      <c r="G22" s="12">
        <v>0.16400000000000001</v>
      </c>
      <c r="H22" s="10">
        <v>0.19450000000000001</v>
      </c>
      <c r="I22" s="10">
        <v>0.20569999999999999</v>
      </c>
    </row>
    <row r="23" spans="1:17" ht="14.4" x14ac:dyDescent="0.3">
      <c r="A23" s="6" t="s">
        <v>33</v>
      </c>
      <c r="B23" s="11">
        <v>8.2100000000000006E-2</v>
      </c>
      <c r="C23" s="11">
        <v>8.5099999999999995E-2</v>
      </c>
      <c r="D23" s="11">
        <v>8.4199999999999997E-2</v>
      </c>
      <c r="E23" s="11">
        <v>8.2299999999999998E-2</v>
      </c>
      <c r="F23" s="11">
        <v>7.7499999999999999E-2</v>
      </c>
      <c r="G23" s="11">
        <v>9.3700000000000006E-2</v>
      </c>
      <c r="H23" s="11">
        <v>0.1028</v>
      </c>
      <c r="I23" s="11">
        <v>0.1024</v>
      </c>
    </row>
    <row r="24" spans="1:17" ht="14.4" x14ac:dyDescent="0.3">
      <c r="A24" s="6" t="s">
        <v>34</v>
      </c>
      <c r="B24" s="10">
        <v>0.13780000000000001</v>
      </c>
      <c r="C24" s="10">
        <v>0.1434</v>
      </c>
      <c r="D24" s="10">
        <v>0.15479999999999999</v>
      </c>
      <c r="E24" s="10">
        <v>0.16089999999999999</v>
      </c>
      <c r="F24" s="10">
        <v>0.18629999999999999</v>
      </c>
      <c r="G24" s="10">
        <v>0.33239999999999997</v>
      </c>
      <c r="H24" s="10">
        <v>0.31240000000000001</v>
      </c>
      <c r="I24" s="10">
        <v>0.27579999999999999</v>
      </c>
    </row>
    <row r="25" spans="1:17" ht="14.4" x14ac:dyDescent="0.3">
      <c r="A25" s="6" t="s">
        <v>35</v>
      </c>
      <c r="B25" s="11">
        <v>0.1527</v>
      </c>
      <c r="C25" s="11">
        <v>0.2082</v>
      </c>
      <c r="D25" s="13">
        <v>0.19900000000000001</v>
      </c>
      <c r="E25" s="11">
        <v>0.18149999999999999</v>
      </c>
      <c r="F25" s="11">
        <v>0.1918</v>
      </c>
      <c r="G25" s="11">
        <v>0.25430000000000003</v>
      </c>
      <c r="H25" s="11">
        <v>0.29530000000000001</v>
      </c>
      <c r="I25" s="11">
        <v>0.28179999999999999</v>
      </c>
    </row>
    <row r="26" spans="1:17" ht="14.4" x14ac:dyDescent="0.3">
      <c r="A26" s="6" t="s">
        <v>36</v>
      </c>
      <c r="B26" s="10">
        <v>4.87E-2</v>
      </c>
      <c r="C26" s="10">
        <v>4.9500000000000002E-2</v>
      </c>
      <c r="D26" s="10">
        <v>6.1600000000000002E-2</v>
      </c>
      <c r="E26" s="12">
        <v>5.8000000000000003E-2</v>
      </c>
      <c r="F26" s="10">
        <v>7.51E-2</v>
      </c>
      <c r="G26" s="10">
        <v>0.16089999999999999</v>
      </c>
      <c r="H26" s="10">
        <v>0.2056</v>
      </c>
      <c r="I26" s="12">
        <v>0.13900000000000001</v>
      </c>
    </row>
    <row r="27" spans="1:17" ht="14.4" x14ac:dyDescent="0.3">
      <c r="A27" s="6" t="s">
        <v>37</v>
      </c>
      <c r="B27" s="11">
        <v>3.8199999999999998E-2</v>
      </c>
      <c r="C27" s="13">
        <v>3.5000000000000003E-2</v>
      </c>
      <c r="D27" s="11">
        <v>4.9099999999999998E-2</v>
      </c>
      <c r="E27" s="11">
        <v>5.0299999999999997E-2</v>
      </c>
      <c r="F27" s="11">
        <v>6.1899999999999997E-2</v>
      </c>
      <c r="G27" s="11">
        <v>0.1396</v>
      </c>
      <c r="H27" s="11">
        <v>0.1704</v>
      </c>
      <c r="I27" s="11">
        <v>0.1232</v>
      </c>
    </row>
    <row r="28" spans="1:17" ht="15.6" x14ac:dyDescent="0.3">
      <c r="A28" s="6" t="s">
        <v>38</v>
      </c>
      <c r="B28" s="10">
        <v>6.7199999999999996E-2</v>
      </c>
      <c r="C28" s="10">
        <v>7.0800000000000002E-2</v>
      </c>
      <c r="D28" s="10">
        <v>7.6100000000000001E-2</v>
      </c>
      <c r="E28" s="10">
        <v>8.2100000000000006E-2</v>
      </c>
      <c r="F28" s="10">
        <v>8.2400000000000001E-2</v>
      </c>
      <c r="G28" s="10">
        <v>0.1041</v>
      </c>
      <c r="H28" s="10">
        <v>0.18559999999999999</v>
      </c>
      <c r="I28" s="10">
        <v>0.2046</v>
      </c>
      <c r="N28" s="15">
        <v>12.14</v>
      </c>
      <c r="O28">
        <f>N28/100</f>
        <v>0.12140000000000001</v>
      </c>
      <c r="P28">
        <f>O28*Q28</f>
        <v>0.13851740000000001</v>
      </c>
      <c r="Q28">
        <v>1.141</v>
      </c>
    </row>
    <row r="29" spans="1:17" ht="15.6" x14ac:dyDescent="0.3">
      <c r="A29" s="6" t="s">
        <v>39</v>
      </c>
      <c r="B29" s="11">
        <v>4.7199999999999999E-2</v>
      </c>
      <c r="C29" s="11">
        <v>4.5400000000000003E-2</v>
      </c>
      <c r="D29" s="11">
        <v>4.2900000000000001E-2</v>
      </c>
      <c r="E29" s="11">
        <v>3.44E-2</v>
      </c>
      <c r="F29" s="11">
        <v>3.1099999999999999E-2</v>
      </c>
      <c r="G29" s="11">
        <v>1.84E-2</v>
      </c>
      <c r="H29" s="11">
        <v>2.2000000000000001E-3</v>
      </c>
      <c r="I29" s="13">
        <v>1.6E-2</v>
      </c>
      <c r="N29" s="15">
        <v>13.23</v>
      </c>
      <c r="O29">
        <f t="shared" ref="O29:O35" si="0">N29/100</f>
        <v>0.1323</v>
      </c>
      <c r="P29">
        <f t="shared" ref="P29:P35" si="1">O29*Q29</f>
        <v>0.14949899999999999</v>
      </c>
      <c r="Q29">
        <v>1.1299999999999999</v>
      </c>
    </row>
    <row r="30" spans="1:17" ht="15.6" x14ac:dyDescent="0.3">
      <c r="A30" s="6" t="s">
        <v>40</v>
      </c>
      <c r="B30" s="12">
        <v>0.34300000000000003</v>
      </c>
      <c r="C30" s="10">
        <v>0.3261</v>
      </c>
      <c r="D30" s="10">
        <v>0.32040000000000002</v>
      </c>
      <c r="E30" s="10">
        <v>0.31830000000000003</v>
      </c>
      <c r="F30" s="10">
        <v>0.32850000000000001</v>
      </c>
      <c r="G30" s="10">
        <v>0.3392</v>
      </c>
      <c r="H30" s="10">
        <v>0.30759999999999998</v>
      </c>
      <c r="I30" s="12">
        <v>0.28999999999999998</v>
      </c>
      <c r="N30" s="15">
        <v>14.29</v>
      </c>
      <c r="O30">
        <f t="shared" si="0"/>
        <v>0.1429</v>
      </c>
      <c r="P30">
        <f t="shared" si="1"/>
        <v>0.162906</v>
      </c>
      <c r="Q30">
        <v>1.1399999999999999</v>
      </c>
    </row>
    <row r="31" spans="1:17" ht="15.6" x14ac:dyDescent="0.3">
      <c r="A31" s="6" t="s">
        <v>41</v>
      </c>
      <c r="B31" s="13">
        <v>0.114</v>
      </c>
      <c r="C31" s="13">
        <v>0.12</v>
      </c>
      <c r="D31" s="13">
        <v>0.14000000000000001</v>
      </c>
      <c r="E31" s="11">
        <v>0.14810000000000001</v>
      </c>
      <c r="F31" s="11">
        <v>0.15040000000000001</v>
      </c>
      <c r="G31" s="11">
        <v>0.28160000000000002</v>
      </c>
      <c r="H31" s="11">
        <v>0.35339999999999999</v>
      </c>
      <c r="I31" s="11">
        <v>0.29139999999999999</v>
      </c>
      <c r="N31" s="15">
        <v>14.61</v>
      </c>
      <c r="O31">
        <f t="shared" si="0"/>
        <v>0.14610000000000001</v>
      </c>
      <c r="P31">
        <f t="shared" si="1"/>
        <v>0.16363200000000003</v>
      </c>
      <c r="Q31">
        <v>1.1200000000000001</v>
      </c>
    </row>
    <row r="32" spans="1:17" ht="15.6" x14ac:dyDescent="0.3">
      <c r="A32" s="6" t="s">
        <v>42</v>
      </c>
      <c r="B32" s="12">
        <v>0.08</v>
      </c>
      <c r="C32" s="10">
        <v>8.3199999999999996E-2</v>
      </c>
      <c r="D32" s="10">
        <v>9.11E-2</v>
      </c>
      <c r="E32" s="10">
        <v>9.8900000000000002E-2</v>
      </c>
      <c r="F32" s="10">
        <v>0.10050000000000001</v>
      </c>
      <c r="G32" s="10">
        <v>0.15210000000000001</v>
      </c>
      <c r="H32" s="10">
        <v>0.25869999999999999</v>
      </c>
      <c r="I32" s="10">
        <v>0.24360000000000001</v>
      </c>
      <c r="N32" s="15">
        <v>16.260000000000002</v>
      </c>
      <c r="O32">
        <f t="shared" si="0"/>
        <v>0.16260000000000002</v>
      </c>
      <c r="P32">
        <f t="shared" si="1"/>
        <v>0.18861600000000001</v>
      </c>
      <c r="Q32">
        <v>1.1599999999999999</v>
      </c>
    </row>
    <row r="33" spans="1:20" ht="15.6" x14ac:dyDescent="0.3">
      <c r="A33" s="6" t="s">
        <v>43</v>
      </c>
      <c r="B33" s="11">
        <v>5.2699999999999997E-2</v>
      </c>
      <c r="C33" s="11">
        <v>5.1299999999999998E-2</v>
      </c>
      <c r="D33" s="11">
        <v>5.04E-2</v>
      </c>
      <c r="E33" s="13">
        <v>5.8999999999999997E-2</v>
      </c>
      <c r="F33" s="11">
        <v>5.7099999999999998E-2</v>
      </c>
      <c r="G33" s="11">
        <v>6.4899999999999999E-2</v>
      </c>
      <c r="H33" s="11">
        <v>5.8599999999999999E-2</v>
      </c>
      <c r="I33" s="11">
        <v>5.3600000000000002E-2</v>
      </c>
      <c r="N33" s="16">
        <v>23.23</v>
      </c>
      <c r="O33">
        <f t="shared" si="0"/>
        <v>0.23230000000000001</v>
      </c>
      <c r="P33">
        <f t="shared" si="1"/>
        <v>0.271791</v>
      </c>
      <c r="Q33">
        <v>1.17</v>
      </c>
    </row>
    <row r="34" spans="1:20" ht="15.6" x14ac:dyDescent="0.3">
      <c r="A34" s="6" t="s">
        <v>44</v>
      </c>
      <c r="B34" s="10">
        <v>7.7600000000000002E-2</v>
      </c>
      <c r="C34" s="12">
        <v>6.2E-2</v>
      </c>
      <c r="D34" s="10">
        <v>0.1096</v>
      </c>
      <c r="E34" s="10">
        <v>0.1178</v>
      </c>
      <c r="F34" s="10">
        <v>0.14230000000000001</v>
      </c>
      <c r="G34" s="10">
        <v>0.23630000000000001</v>
      </c>
      <c r="H34" s="10">
        <v>0.2903</v>
      </c>
      <c r="I34" s="10">
        <v>0.22259999999999999</v>
      </c>
      <c r="N34" s="16">
        <v>28.8</v>
      </c>
      <c r="O34">
        <f t="shared" si="0"/>
        <v>0.28800000000000003</v>
      </c>
      <c r="P34">
        <f t="shared" si="1"/>
        <v>0.33119999999999999</v>
      </c>
      <c r="Q34">
        <v>1.1499999999999999</v>
      </c>
    </row>
    <row r="35" spans="1:20" ht="15.6" x14ac:dyDescent="0.3">
      <c r="A35" s="6" t="s">
        <v>45</v>
      </c>
      <c r="B35" s="11">
        <v>4.9200000000000001E-2</v>
      </c>
      <c r="C35" s="11">
        <v>5.5800000000000002E-2</v>
      </c>
      <c r="D35" s="11">
        <v>5.8099999999999999E-2</v>
      </c>
      <c r="E35" s="13">
        <v>6.2E-2</v>
      </c>
      <c r="F35" s="11">
        <v>7.4099999999999999E-2</v>
      </c>
      <c r="G35" s="11">
        <v>0.1739</v>
      </c>
      <c r="H35" s="11">
        <v>5.74E-2</v>
      </c>
      <c r="I35" s="11">
        <v>5.1799999999999999E-2</v>
      </c>
      <c r="N35" s="15">
        <v>26.06</v>
      </c>
      <c r="O35">
        <f t="shared" si="0"/>
        <v>0.2606</v>
      </c>
      <c r="P35">
        <f t="shared" si="1"/>
        <v>0.307508</v>
      </c>
      <c r="Q35">
        <v>1.18</v>
      </c>
    </row>
    <row r="36" spans="1:20" ht="14.4" x14ac:dyDescent="0.3">
      <c r="A36" s="6" t="s">
        <v>46</v>
      </c>
      <c r="B36" s="12">
        <v>5.6000000000000001E-2</v>
      </c>
      <c r="C36" s="10">
        <v>5.8900000000000001E-2</v>
      </c>
      <c r="D36" s="10">
        <v>6.1699999999999998E-2</v>
      </c>
      <c r="E36" s="10">
        <v>7.0499999999999993E-2</v>
      </c>
      <c r="F36" s="10">
        <v>7.4399999999999994E-2</v>
      </c>
      <c r="G36" s="12">
        <v>9.1999999999999998E-2</v>
      </c>
      <c r="H36" s="10">
        <v>0.1042</v>
      </c>
      <c r="I36" s="10">
        <v>0.1022</v>
      </c>
    </row>
    <row r="37" spans="1:20" ht="14.4" x14ac:dyDescent="0.3">
      <c r="A37" s="6" t="s">
        <v>47</v>
      </c>
      <c r="B37" s="11">
        <v>5.3800000000000001E-2</v>
      </c>
      <c r="C37" s="11">
        <v>5.9700000000000003E-2</v>
      </c>
      <c r="D37" s="11">
        <v>7.0400000000000004E-2</v>
      </c>
      <c r="E37" s="11">
        <v>8.1799999999999998E-2</v>
      </c>
      <c r="F37" s="11">
        <v>7.6200000000000004E-2</v>
      </c>
      <c r="G37" s="11">
        <v>0.10150000000000001</v>
      </c>
      <c r="H37" s="11">
        <v>0.12230000000000001</v>
      </c>
      <c r="I37" s="13">
        <v>0.115</v>
      </c>
    </row>
    <row r="38" spans="1:20" ht="14.4" x14ac:dyDescent="0.3">
      <c r="A38" s="6" t="s">
        <v>48</v>
      </c>
      <c r="B38" s="10">
        <v>8.8700000000000001E-2</v>
      </c>
      <c r="C38" s="10">
        <v>9.1700000000000004E-2</v>
      </c>
      <c r="D38" s="10">
        <v>9.7100000000000006E-2</v>
      </c>
      <c r="E38" s="12">
        <v>8.7999999999999995E-2</v>
      </c>
      <c r="F38" s="10">
        <v>8.5199999999999998E-2</v>
      </c>
      <c r="G38" s="10">
        <v>0.13239999999999999</v>
      </c>
      <c r="H38" s="12">
        <v>0.13</v>
      </c>
      <c r="I38" s="10">
        <v>0.1077</v>
      </c>
    </row>
    <row r="39" spans="1:20" ht="14.4" x14ac:dyDescent="0.3">
      <c r="A39" s="6" t="s">
        <v>49</v>
      </c>
      <c r="B39" s="11">
        <v>5.2600000000000001E-2</v>
      </c>
      <c r="C39" s="13">
        <v>6.2E-2</v>
      </c>
      <c r="D39" s="11">
        <v>6.7699999999999996E-2</v>
      </c>
      <c r="E39" s="13">
        <v>5.1999999999999998E-2</v>
      </c>
      <c r="F39" s="11">
        <v>9.7900000000000001E-2</v>
      </c>
      <c r="G39" s="11">
        <v>0.15390000000000001</v>
      </c>
      <c r="H39" s="11">
        <v>0.1017</v>
      </c>
      <c r="I39" s="11">
        <v>8.4099999999999994E-2</v>
      </c>
      <c r="M39" cm="1">
        <f t="array" ref="M39:T39">TRANSPOSE(P28:P35)</f>
        <v>0.13851740000000001</v>
      </c>
      <c r="N39">
        <v>0.14949899999999999</v>
      </c>
      <c r="O39">
        <v>0.162906</v>
      </c>
      <c r="P39">
        <v>0.16363200000000003</v>
      </c>
      <c r="Q39">
        <v>0.18861600000000001</v>
      </c>
      <c r="R39">
        <v>0.271791</v>
      </c>
      <c r="S39">
        <v>0.33119999999999999</v>
      </c>
      <c r="T39">
        <v>0.307508</v>
      </c>
    </row>
    <row r="40" spans="1:20" ht="14.4" x14ac:dyDescent="0.3">
      <c r="A40" s="6" t="s">
        <v>50</v>
      </c>
      <c r="B40" s="10">
        <v>4.8899999999999999E-2</v>
      </c>
      <c r="C40" s="10">
        <v>4.8399999999999999E-2</v>
      </c>
      <c r="D40" s="12">
        <v>4.7E-2</v>
      </c>
      <c r="E40" s="10">
        <v>4.07E-2</v>
      </c>
      <c r="F40" s="10">
        <v>4.3799999999999999E-2</v>
      </c>
      <c r="G40" s="10">
        <v>4.7399999999999998E-2</v>
      </c>
      <c r="H40" s="10">
        <v>4.7699999999999999E-2</v>
      </c>
      <c r="I40" s="10">
        <v>5.33E-2</v>
      </c>
    </row>
    <row r="41" spans="1:20" ht="14.4" x14ac:dyDescent="0.3">
      <c r="A41" s="6" t="s">
        <v>51</v>
      </c>
      <c r="B41" s="11">
        <v>7.0800000000000002E-2</v>
      </c>
      <c r="C41" s="11">
        <v>7.7700000000000005E-2</v>
      </c>
      <c r="D41" s="11">
        <v>8.1100000000000005E-2</v>
      </c>
      <c r="E41" s="11">
        <v>8.2100000000000006E-2</v>
      </c>
      <c r="F41" s="11">
        <v>8.5800000000000001E-2</v>
      </c>
      <c r="G41" s="11">
        <v>9.4700000000000006E-2</v>
      </c>
      <c r="H41" s="11">
        <v>0.25240000000000001</v>
      </c>
      <c r="I41" s="11">
        <v>0.14560000000000001</v>
      </c>
    </row>
    <row r="42" spans="1:20" ht="14.4" x14ac:dyDescent="0.3">
      <c r="A42" s="6" t="s">
        <v>52</v>
      </c>
      <c r="B42" s="10">
        <v>7.17E-2</v>
      </c>
      <c r="C42" s="10">
        <v>8.4199999999999997E-2</v>
      </c>
      <c r="D42" s="10">
        <v>8.0500000000000002E-2</v>
      </c>
      <c r="E42" s="10">
        <v>4.9299999999999997E-2</v>
      </c>
      <c r="F42" s="10">
        <v>0.10050000000000001</v>
      </c>
      <c r="G42" s="10">
        <v>0.1764</v>
      </c>
      <c r="H42" s="10">
        <v>0.1007</v>
      </c>
      <c r="I42" s="10">
        <v>8.0600000000000005E-2</v>
      </c>
    </row>
    <row r="43" spans="1:20" ht="14.4" x14ac:dyDescent="0.3">
      <c r="A43" s="6" t="s">
        <v>53</v>
      </c>
      <c r="B43" s="11">
        <v>0.12670000000000001</v>
      </c>
      <c r="C43" s="11">
        <v>0.13819999999999999</v>
      </c>
      <c r="D43" s="11">
        <v>0.1469</v>
      </c>
      <c r="E43">
        <f>P39</f>
        <v>0.16363200000000003</v>
      </c>
      <c r="F43">
        <f t="shared" ref="F43:I43" si="2">Q39</f>
        <v>0.18861600000000001</v>
      </c>
      <c r="G43">
        <f t="shared" si="2"/>
        <v>0.271791</v>
      </c>
      <c r="H43">
        <f t="shared" si="2"/>
        <v>0.33119999999999999</v>
      </c>
      <c r="I43">
        <f t="shared" si="2"/>
        <v>0.307508</v>
      </c>
    </row>
    <row r="44" spans="1:20" ht="14.4" x14ac:dyDescent="0.3">
      <c r="A44" s="6" t="s">
        <v>55</v>
      </c>
      <c r="B44" s="10">
        <v>8.9399999999999993E-2</v>
      </c>
      <c r="C44" s="10">
        <v>8.3500000000000005E-2</v>
      </c>
      <c r="D44" s="10">
        <v>8.1900000000000001E-2</v>
      </c>
      <c r="E44" s="10">
        <v>8.6900000000000005E-2</v>
      </c>
      <c r="F44" s="10">
        <v>8.2600000000000007E-2</v>
      </c>
      <c r="G44" s="10">
        <v>8.4500000000000006E-2</v>
      </c>
      <c r="H44" s="10">
        <v>7.6100000000000001E-2</v>
      </c>
      <c r="I44" s="12">
        <v>0.105</v>
      </c>
    </row>
    <row r="45" spans="1:20" ht="14.4" x14ac:dyDescent="0.3">
      <c r="A45" s="6" t="s">
        <v>56</v>
      </c>
      <c r="B45" s="13">
        <v>3.7999999999999999E-2</v>
      </c>
      <c r="C45" s="11">
        <v>4.02E-2</v>
      </c>
      <c r="D45" s="11">
        <v>4.1799999999999997E-2</v>
      </c>
      <c r="E45" s="11">
        <v>4.2700000000000002E-2</v>
      </c>
      <c r="F45" s="11">
        <v>4.2900000000000001E-2</v>
      </c>
      <c r="G45" s="11">
        <v>4.2799999999999998E-2</v>
      </c>
      <c r="H45" s="11">
        <v>4.2700000000000002E-2</v>
      </c>
      <c r="I45" s="11">
        <v>4.2500000000000003E-2</v>
      </c>
    </row>
    <row r="46" spans="1:20" ht="14.4" x14ac:dyDescent="0.3">
      <c r="A46" s="6" t="s">
        <v>57</v>
      </c>
      <c r="B46" s="10">
        <v>6.6799999999999998E-2</v>
      </c>
      <c r="C46" s="12">
        <v>6.3E-2</v>
      </c>
      <c r="D46" s="12">
        <v>6.2E-2</v>
      </c>
      <c r="E46" s="10">
        <v>6.2700000000000006E-2</v>
      </c>
      <c r="F46" s="10">
        <v>5.4899999999999997E-2</v>
      </c>
      <c r="G46" s="10">
        <v>0.10249999999999999</v>
      </c>
      <c r="H46" s="10">
        <v>0.1168</v>
      </c>
      <c r="I46" s="12">
        <v>8.6999999999999994E-2</v>
      </c>
    </row>
    <row r="47" spans="1:20" ht="14.4" x14ac:dyDescent="0.3">
      <c r="A47" s="6" t="s">
        <v>58</v>
      </c>
      <c r="B47" s="11">
        <v>5.1700000000000003E-2</v>
      </c>
      <c r="C47" s="11">
        <v>5.0200000000000002E-2</v>
      </c>
      <c r="D47" s="11">
        <v>4.7199999999999999E-2</v>
      </c>
      <c r="E47" s="11">
        <v>4.9099999999999998E-2</v>
      </c>
      <c r="F47" s="11">
        <v>6.0400000000000002E-2</v>
      </c>
      <c r="G47" s="13">
        <v>5.2999999999999999E-2</v>
      </c>
      <c r="H47" s="11">
        <v>5.4699999999999999E-2</v>
      </c>
      <c r="I47" s="11">
        <v>0.14360000000000001</v>
      </c>
    </row>
    <row r="48" spans="1:20" ht="14.4" x14ac:dyDescent="0.3">
      <c r="A48" s="6" t="s">
        <v>59</v>
      </c>
      <c r="B48" s="8" t="s">
        <v>54</v>
      </c>
      <c r="C48" s="10">
        <v>1.9599999999999999E-2</v>
      </c>
      <c r="D48" s="10">
        <v>3.6200000000000003E-2</v>
      </c>
      <c r="E48" s="10">
        <v>3.2899999999999999E-2</v>
      </c>
      <c r="F48" s="10">
        <v>4.02E-2</v>
      </c>
      <c r="G48" s="10">
        <v>5.5100000000000003E-2</v>
      </c>
      <c r="H48" s="10">
        <v>5.28E-2</v>
      </c>
      <c r="I48" s="10">
        <v>1.23E-2</v>
      </c>
    </row>
    <row r="49" spans="1:9" ht="14.4" x14ac:dyDescent="0.3">
      <c r="A49" s="6" t="s">
        <v>61</v>
      </c>
      <c r="B49" s="11">
        <v>7.1300000000000002E-2</v>
      </c>
      <c r="C49" s="11">
        <v>7.5899999999999995E-2</v>
      </c>
      <c r="D49" s="11">
        <v>7.7799999999999994E-2</v>
      </c>
      <c r="E49" s="9" t="s">
        <v>54</v>
      </c>
      <c r="F49" s="9" t="s">
        <v>54</v>
      </c>
      <c r="G49" s="11">
        <v>1.9099999999999999E-2</v>
      </c>
      <c r="H49" s="11">
        <v>2.1299999999999999E-2</v>
      </c>
      <c r="I49" s="11">
        <v>2.2499999999999999E-2</v>
      </c>
    </row>
    <row r="50" spans="1:9" ht="14.4" x14ac:dyDescent="0.3">
      <c r="A50" s="6" t="s">
        <v>63</v>
      </c>
      <c r="B50" s="10">
        <v>6.1199999999999997E-2</v>
      </c>
      <c r="C50" s="10">
        <v>6.5299999999999997E-2</v>
      </c>
      <c r="D50" s="10">
        <v>6.9599999999999995E-2</v>
      </c>
      <c r="E50" s="10">
        <v>6.7500000000000004E-2</v>
      </c>
      <c r="F50" s="10">
        <v>6.3500000000000001E-2</v>
      </c>
      <c r="G50" s="10">
        <v>6.8599999999999994E-2</v>
      </c>
      <c r="H50" s="10">
        <v>8.5599999999999996E-2</v>
      </c>
      <c r="I50" s="10">
        <v>8.7900000000000006E-2</v>
      </c>
    </row>
    <row r="51" spans="1:9" ht="14.4" x14ac:dyDescent="0.3">
      <c r="A51" s="6" t="s">
        <v>64</v>
      </c>
      <c r="B51" s="11">
        <v>5.0099999999999999E-2</v>
      </c>
      <c r="C51" s="11">
        <v>4.24E-2</v>
      </c>
      <c r="D51" s="11">
        <v>4.8300000000000003E-2</v>
      </c>
      <c r="E51" s="11">
        <v>4.0300000000000002E-2</v>
      </c>
      <c r="F51" s="11">
        <v>3.8300000000000001E-2</v>
      </c>
      <c r="G51" s="11">
        <v>5.2200000000000003E-2</v>
      </c>
      <c r="H51" s="11">
        <v>2.1499999999999998E-2</v>
      </c>
      <c r="I51" s="11">
        <v>1.41E-2</v>
      </c>
    </row>
    <row r="52" spans="1:9" ht="14.4" x14ac:dyDescent="0.3">
      <c r="A52" s="6" t="s">
        <v>66</v>
      </c>
      <c r="B52" s="11">
        <v>5.0799999999999998E-2</v>
      </c>
      <c r="C52" s="11">
        <v>5.1900000000000002E-2</v>
      </c>
      <c r="D52" s="11">
        <v>3.5400000000000001E-2</v>
      </c>
      <c r="E52" s="11">
        <v>4.0599999999999997E-2</v>
      </c>
      <c r="F52" s="11">
        <v>4.2700000000000002E-2</v>
      </c>
      <c r="G52" s="11">
        <v>3.2300000000000002E-2</v>
      </c>
      <c r="H52" s="11">
        <v>4.3799999999999999E-2</v>
      </c>
      <c r="I52" s="11">
        <v>7.3499999999999996E-2</v>
      </c>
    </row>
    <row r="53" spans="1:9" ht="14.4" x14ac:dyDescent="0.3"/>
    <row r="54" spans="1:9" ht="11.4" customHeight="1" x14ac:dyDescent="0.3">
      <c r="A54" s="1" t="s">
        <v>67</v>
      </c>
    </row>
    <row r="55" spans="1:9" ht="14.4" x14ac:dyDescent="0.3">
      <c r="A55" s="1" t="s">
        <v>54</v>
      </c>
      <c r="B55" s="2" t="s">
        <v>68</v>
      </c>
    </row>
    <row r="56" spans="1:9" ht="14.4" x14ac:dyDescent="0.3">
      <c r="A56" s="1" t="s">
        <v>69</v>
      </c>
    </row>
    <row r="57" spans="1:9" ht="14.4" x14ac:dyDescent="0.3">
      <c r="A57" s="1" t="s">
        <v>31</v>
      </c>
      <c r="B57" s="2" t="s">
        <v>70</v>
      </c>
    </row>
    <row r="58" spans="1:9" ht="14.4" x14ac:dyDescent="0.3">
      <c r="A58" s="1" t="s">
        <v>60</v>
      </c>
      <c r="B58" s="2" t="s">
        <v>71</v>
      </c>
    </row>
    <row r="59" spans="1:9" ht="14.4" x14ac:dyDescent="0.3">
      <c r="A59" s="1" t="s">
        <v>62</v>
      </c>
      <c r="B59" s="2" t="s">
        <v>72</v>
      </c>
    </row>
    <row r="60" spans="1:9" ht="14.4" x14ac:dyDescent="0.3"/>
    <row r="61" spans="1:9" ht="11.4" customHeight="1" x14ac:dyDescent="0.3">
      <c r="A61" s="2" t="s">
        <v>0</v>
      </c>
    </row>
    <row r="62" spans="1:9" ht="14.4" x14ac:dyDescent="0.3">
      <c r="A62" s="2" t="s">
        <v>1</v>
      </c>
      <c r="B62" s="1" t="s">
        <v>2</v>
      </c>
    </row>
    <row r="63" spans="1:9" ht="14.4" x14ac:dyDescent="0.3">
      <c r="A63" s="2" t="s">
        <v>3</v>
      </c>
      <c r="B63" s="2" t="s">
        <v>4</v>
      </c>
    </row>
    <row r="64" spans="1:9" ht="14.4" x14ac:dyDescent="0.3"/>
    <row r="65" spans="1:9" ht="14.4" x14ac:dyDescent="0.3">
      <c r="A65" s="1" t="s">
        <v>5</v>
      </c>
    </row>
    <row r="66" spans="1:9" ht="14.4" x14ac:dyDescent="0.3">
      <c r="A66" s="1" t="s">
        <v>6</v>
      </c>
    </row>
    <row r="67" spans="1:9" ht="14.4" x14ac:dyDescent="0.3">
      <c r="A67" s="1" t="s">
        <v>7</v>
      </c>
    </row>
    <row r="68" spans="1:9" ht="14.4" x14ac:dyDescent="0.3">
      <c r="A68" s="1" t="s">
        <v>8</v>
      </c>
    </row>
    <row r="69" spans="1:9" ht="14.4" x14ac:dyDescent="0.3"/>
    <row r="70" spans="1:9" ht="14.4" x14ac:dyDescent="0.3">
      <c r="A70" s="4" t="s">
        <v>9</v>
      </c>
      <c r="B70" s="3" t="s">
        <v>10</v>
      </c>
      <c r="C70" s="3" t="s">
        <v>12</v>
      </c>
      <c r="D70" s="3" t="s">
        <v>13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</row>
    <row r="71" spans="1:9" ht="14.4" x14ac:dyDescent="0.3">
      <c r="A71" s="5" t="s">
        <v>19</v>
      </c>
      <c r="B71" s="7" t="s">
        <v>11</v>
      </c>
      <c r="C71" s="7" t="s">
        <v>11</v>
      </c>
      <c r="D71" s="7" t="s">
        <v>11</v>
      </c>
      <c r="E71" s="7" t="s">
        <v>11</v>
      </c>
      <c r="F71" s="7" t="s">
        <v>11</v>
      </c>
      <c r="G71" s="7" t="s">
        <v>11</v>
      </c>
      <c r="H71" s="7" t="s">
        <v>11</v>
      </c>
      <c r="I71" s="7" t="s">
        <v>11</v>
      </c>
    </row>
    <row r="72" spans="1:9" ht="14.4" x14ac:dyDescent="0.3">
      <c r="A72" s="6" t="s">
        <v>20</v>
      </c>
      <c r="B72" s="11">
        <v>0.1263</v>
      </c>
      <c r="C72" s="11">
        <v>0.14050000000000001</v>
      </c>
      <c r="D72" s="11">
        <v>0.1525</v>
      </c>
      <c r="E72" s="11">
        <v>0.15609999999999999</v>
      </c>
      <c r="F72" s="11">
        <v>0.16170000000000001</v>
      </c>
      <c r="G72" s="11">
        <v>0.1565</v>
      </c>
      <c r="H72" s="11">
        <v>0.17549999999999999</v>
      </c>
      <c r="I72" s="11">
        <v>0.18990000000000001</v>
      </c>
    </row>
    <row r="73" spans="1:9" ht="14.4" x14ac:dyDescent="0.3">
      <c r="A73" s="6" t="s">
        <v>21</v>
      </c>
      <c r="B73" s="10">
        <v>0.12520000000000001</v>
      </c>
      <c r="C73" s="10">
        <v>0.14219999999999999</v>
      </c>
      <c r="D73" s="12">
        <v>0.158</v>
      </c>
      <c r="E73" s="10">
        <v>0.1681</v>
      </c>
      <c r="F73" s="10">
        <v>0.1696</v>
      </c>
      <c r="G73" s="10">
        <v>0.1696</v>
      </c>
      <c r="H73" s="10">
        <v>0.18509999999999999</v>
      </c>
      <c r="I73" s="10">
        <v>0.19850000000000001</v>
      </c>
    </row>
    <row r="74" spans="1:9" ht="14.4" x14ac:dyDescent="0.3">
      <c r="A74" s="6" t="s">
        <v>22</v>
      </c>
      <c r="B74" s="13">
        <v>0.14499999999999999</v>
      </c>
      <c r="C74" s="11">
        <v>0.16220000000000001</v>
      </c>
      <c r="D74" s="13">
        <v>0.19</v>
      </c>
      <c r="E74" s="13">
        <v>0.188</v>
      </c>
      <c r="F74" s="11">
        <v>0.1691</v>
      </c>
      <c r="G74" s="11">
        <v>0.1275</v>
      </c>
      <c r="H74" s="11">
        <v>0.1615</v>
      </c>
      <c r="I74" s="13">
        <v>0.151</v>
      </c>
    </row>
    <row r="75" spans="1:9" ht="14.4" x14ac:dyDescent="0.3">
      <c r="A75" s="6" t="s">
        <v>23</v>
      </c>
      <c r="B75" s="10">
        <v>2.2800000000000001E-2</v>
      </c>
      <c r="C75" s="10">
        <v>2.3900000000000001E-2</v>
      </c>
      <c r="D75" s="10">
        <v>2.52E-2</v>
      </c>
      <c r="E75" s="10">
        <v>2.5899999999999999E-2</v>
      </c>
      <c r="F75" s="10">
        <v>2.69E-2</v>
      </c>
      <c r="G75" s="10">
        <v>3.7600000000000001E-2</v>
      </c>
      <c r="H75" s="10">
        <v>4.2099999999999999E-2</v>
      </c>
      <c r="I75" s="10">
        <v>3.2500000000000001E-2</v>
      </c>
    </row>
    <row r="76" spans="1:9" ht="14.4" x14ac:dyDescent="0.3">
      <c r="A76" s="6" t="s">
        <v>24</v>
      </c>
      <c r="B76" s="11">
        <v>0.10050000000000001</v>
      </c>
      <c r="C76" s="11">
        <v>0.1066</v>
      </c>
      <c r="D76" s="13">
        <v>0.113</v>
      </c>
      <c r="E76" s="11">
        <v>0.1103</v>
      </c>
      <c r="F76" s="11">
        <v>8.77E-2</v>
      </c>
      <c r="G76" s="11">
        <v>8.8000000000000005E-3</v>
      </c>
      <c r="H76" s="11">
        <v>0.15579999999999999</v>
      </c>
      <c r="I76" s="11">
        <v>0.18729999999999999</v>
      </c>
    </row>
    <row r="77" spans="1:9" ht="14.4" x14ac:dyDescent="0.3">
      <c r="A77" s="6" t="s">
        <v>25</v>
      </c>
      <c r="B77" s="10">
        <v>0.1113</v>
      </c>
      <c r="C77" s="12">
        <v>0.113</v>
      </c>
      <c r="D77" s="10">
        <v>0.1094</v>
      </c>
      <c r="E77" s="10">
        <v>0.11310000000000001</v>
      </c>
      <c r="F77" s="10">
        <v>0.10829999999999999</v>
      </c>
      <c r="G77" s="10">
        <v>0.1124</v>
      </c>
      <c r="H77" s="10">
        <v>0.1389</v>
      </c>
      <c r="I77" s="10">
        <v>0.1457</v>
      </c>
    </row>
    <row r="78" spans="1:9" ht="14.4" x14ac:dyDescent="0.3">
      <c r="A78" s="6" t="s">
        <v>26</v>
      </c>
      <c r="B78" s="11">
        <v>0.14979999999999999</v>
      </c>
      <c r="C78" s="11">
        <v>0.1573</v>
      </c>
      <c r="D78" s="11">
        <v>0.18079999999999999</v>
      </c>
      <c r="E78" s="11">
        <v>0.15459999999999999</v>
      </c>
      <c r="F78" s="11">
        <v>0.15740000000000001</v>
      </c>
      <c r="G78" s="11">
        <v>0.1663</v>
      </c>
      <c r="H78" s="11">
        <v>0.1804</v>
      </c>
      <c r="I78" s="11">
        <v>0.2215</v>
      </c>
    </row>
    <row r="79" spans="1:9" ht="14.4" x14ac:dyDescent="0.3">
      <c r="A79" s="6" t="s">
        <v>27</v>
      </c>
      <c r="B79" s="10">
        <v>5.3699999999999998E-2</v>
      </c>
      <c r="C79" s="10">
        <v>6.3899999999999998E-2</v>
      </c>
      <c r="D79" s="10">
        <v>6.4199999999999993E-2</v>
      </c>
      <c r="E79" s="10">
        <v>6.5500000000000003E-2</v>
      </c>
      <c r="F79" s="12">
        <v>6.4000000000000001E-2</v>
      </c>
      <c r="G79" s="10">
        <v>7.3200000000000001E-2</v>
      </c>
      <c r="H79" s="10">
        <v>9.0800000000000006E-2</v>
      </c>
      <c r="I79" s="10">
        <v>0.1003</v>
      </c>
    </row>
    <row r="80" spans="1:9" ht="14.4" x14ac:dyDescent="0.3">
      <c r="A80" s="6" t="s">
        <v>28</v>
      </c>
      <c r="B80" s="11">
        <v>0.1421</v>
      </c>
      <c r="C80" s="11">
        <v>0.12759999999999999</v>
      </c>
      <c r="D80" s="13">
        <v>0.14099999999999999</v>
      </c>
      <c r="E80" s="11">
        <v>0.20930000000000001</v>
      </c>
      <c r="F80" s="11">
        <v>0.18429999999999999</v>
      </c>
      <c r="G80" s="11">
        <v>0.18160000000000001</v>
      </c>
      <c r="H80" s="11">
        <v>0.12509999999999999</v>
      </c>
      <c r="I80" s="11">
        <v>0.11119999999999999</v>
      </c>
    </row>
    <row r="81" spans="1:9" ht="14.4" x14ac:dyDescent="0.3">
      <c r="A81" s="6" t="s">
        <v>29</v>
      </c>
      <c r="B81" s="12">
        <v>4.7E-2</v>
      </c>
      <c r="C81" s="10">
        <v>4.4299999999999999E-2</v>
      </c>
      <c r="D81" s="10">
        <v>4.4299999999999999E-2</v>
      </c>
      <c r="E81" s="10">
        <v>4.1399999999999999E-2</v>
      </c>
      <c r="F81" s="12">
        <v>4.3999999999999997E-2</v>
      </c>
      <c r="G81" s="10">
        <v>3.95E-2</v>
      </c>
      <c r="H81" s="10">
        <v>7.9600000000000004E-2</v>
      </c>
      <c r="I81" s="10">
        <v>0.13339999999999999</v>
      </c>
    </row>
    <row r="82" spans="1:9" ht="14.4" x14ac:dyDescent="0.3">
      <c r="A82" s="6" t="s">
        <v>30</v>
      </c>
      <c r="B82" s="11">
        <v>0.13850000000000001</v>
      </c>
      <c r="C82" s="11">
        <v>0.1173</v>
      </c>
      <c r="D82" s="11">
        <v>0.1492</v>
      </c>
      <c r="E82" s="11">
        <v>0.19969999999999999</v>
      </c>
      <c r="F82" s="11">
        <v>0.1575</v>
      </c>
      <c r="G82" s="13">
        <v>0.188</v>
      </c>
      <c r="H82" s="11">
        <v>0.21640000000000001</v>
      </c>
      <c r="I82" s="13">
        <v>0.20899999999999999</v>
      </c>
    </row>
    <row r="83" spans="1:9" ht="14.4" x14ac:dyDescent="0.3">
      <c r="A83" s="6" t="s">
        <v>32</v>
      </c>
      <c r="B83" s="10">
        <v>0.1103</v>
      </c>
      <c r="C83" s="10">
        <v>0.15939999999999999</v>
      </c>
      <c r="D83" s="10">
        <v>0.1517</v>
      </c>
      <c r="E83" s="10">
        <v>0.1837</v>
      </c>
      <c r="F83" s="10">
        <v>0.1767</v>
      </c>
      <c r="G83" s="10">
        <v>0.17849999999999999</v>
      </c>
      <c r="H83" s="10">
        <v>0.19570000000000001</v>
      </c>
      <c r="I83" s="10">
        <v>0.20150000000000001</v>
      </c>
    </row>
    <row r="84" spans="1:9" ht="14.4" x14ac:dyDescent="0.3">
      <c r="A84" s="6" t="s">
        <v>33</v>
      </c>
      <c r="B84" s="11">
        <v>8.7599999999999997E-2</v>
      </c>
      <c r="C84" s="11">
        <v>8.9700000000000002E-2</v>
      </c>
      <c r="D84" s="13">
        <v>8.7999999999999995E-2</v>
      </c>
      <c r="E84" s="11">
        <v>9.0800000000000006E-2</v>
      </c>
      <c r="F84" s="11">
        <v>8.6099999999999996E-2</v>
      </c>
      <c r="G84" s="11">
        <v>9.8500000000000004E-2</v>
      </c>
      <c r="H84" s="11">
        <v>9.5600000000000004E-2</v>
      </c>
      <c r="I84" s="11">
        <v>9.7600000000000006E-2</v>
      </c>
    </row>
    <row r="85" spans="1:9" ht="14.4" x14ac:dyDescent="0.3">
      <c r="A85" s="6" t="s">
        <v>34</v>
      </c>
      <c r="B85" s="10">
        <v>8.3900000000000002E-2</v>
      </c>
      <c r="C85" s="10">
        <v>9.4799999999999995E-2</v>
      </c>
      <c r="D85" s="10">
        <v>0.1628</v>
      </c>
      <c r="E85" s="12">
        <v>0.154</v>
      </c>
      <c r="F85" s="10">
        <v>0.15659999999999999</v>
      </c>
      <c r="G85" s="10">
        <v>0.17069999999999999</v>
      </c>
      <c r="H85" s="10">
        <v>0.13569999999999999</v>
      </c>
      <c r="I85" s="10">
        <v>0.13589999999999999</v>
      </c>
    </row>
    <row r="86" spans="1:9" ht="14.4" x14ac:dyDescent="0.3">
      <c r="A86" s="6" t="s">
        <v>35</v>
      </c>
      <c r="B86" s="11">
        <v>3.1300000000000001E-2</v>
      </c>
      <c r="C86" s="13">
        <v>3.2000000000000001E-2</v>
      </c>
      <c r="D86" s="11">
        <v>4.5199999999999997E-2</v>
      </c>
      <c r="E86" s="11">
        <v>6.1199999999999997E-2</v>
      </c>
      <c r="F86" s="11">
        <v>6.7500000000000004E-2</v>
      </c>
      <c r="G86" s="13">
        <v>6.7000000000000004E-2</v>
      </c>
      <c r="H86" s="11">
        <v>0.12470000000000001</v>
      </c>
      <c r="I86" s="11">
        <v>0.16869999999999999</v>
      </c>
    </row>
    <row r="87" spans="1:9" ht="14.4" x14ac:dyDescent="0.3">
      <c r="A87" s="6" t="s">
        <v>36</v>
      </c>
      <c r="B87" s="10">
        <v>8.1600000000000006E-2</v>
      </c>
      <c r="C87" s="10">
        <v>8.1799999999999998E-2</v>
      </c>
      <c r="D87" s="10">
        <v>8.0699999999999994E-2</v>
      </c>
      <c r="E87" s="10">
        <v>8.6900000000000005E-2</v>
      </c>
      <c r="F87" s="10">
        <v>8.5400000000000004E-2</v>
      </c>
      <c r="G87" s="10">
        <v>8.6400000000000005E-2</v>
      </c>
      <c r="H87" s="10">
        <v>0.17119999999999999</v>
      </c>
      <c r="I87" s="10">
        <v>0.2316</v>
      </c>
    </row>
    <row r="88" spans="1:9" ht="14.4" x14ac:dyDescent="0.3">
      <c r="A88" s="6" t="s">
        <v>37</v>
      </c>
      <c r="B88" s="11">
        <v>4.1599999999999998E-2</v>
      </c>
      <c r="C88" s="11">
        <v>4.4200000000000003E-2</v>
      </c>
      <c r="D88" s="11">
        <v>4.9399999999999999E-2</v>
      </c>
      <c r="E88" s="11">
        <v>5.8400000000000001E-2</v>
      </c>
      <c r="F88" s="11">
        <v>5.9299999999999999E-2</v>
      </c>
      <c r="G88" s="11">
        <v>5.9700000000000003E-2</v>
      </c>
      <c r="H88" s="11">
        <v>6.9800000000000001E-2</v>
      </c>
      <c r="I88" s="11">
        <v>8.4099999999999994E-2</v>
      </c>
    </row>
    <row r="89" spans="1:9" ht="14.4" x14ac:dyDescent="0.3">
      <c r="A89" s="6" t="s">
        <v>38</v>
      </c>
      <c r="B89" s="10">
        <v>0.1492</v>
      </c>
      <c r="C89" s="12">
        <v>0.183</v>
      </c>
      <c r="D89" s="10">
        <v>0.2099</v>
      </c>
      <c r="E89" s="10">
        <v>0.2112</v>
      </c>
      <c r="F89" s="10">
        <v>0.1925</v>
      </c>
      <c r="G89" s="10">
        <v>0.1938</v>
      </c>
      <c r="H89" s="10">
        <v>0.27910000000000001</v>
      </c>
      <c r="I89" s="10">
        <v>0.25950000000000001</v>
      </c>
    </row>
    <row r="90" spans="1:9" ht="14.4" x14ac:dyDescent="0.3">
      <c r="A90" s="6" t="s">
        <v>39</v>
      </c>
      <c r="B90" s="11">
        <v>5.4899999999999997E-2</v>
      </c>
      <c r="C90" s="11">
        <v>4.53E-2</v>
      </c>
      <c r="D90" s="11">
        <v>4.6600000000000003E-2</v>
      </c>
      <c r="E90" s="11">
        <v>4.7100000000000003E-2</v>
      </c>
      <c r="F90" s="11">
        <v>4.7800000000000002E-2</v>
      </c>
      <c r="G90" s="11">
        <v>4.9700000000000001E-2</v>
      </c>
      <c r="H90" s="13">
        <v>6.4000000000000001E-2</v>
      </c>
      <c r="I90" s="11">
        <v>5.9499999999999997E-2</v>
      </c>
    </row>
    <row r="91" spans="1:9" ht="14.4" x14ac:dyDescent="0.3">
      <c r="A91" s="6" t="s">
        <v>40</v>
      </c>
      <c r="B91" s="12">
        <v>2.5000000000000001E-2</v>
      </c>
      <c r="C91" s="12">
        <v>2.4E-2</v>
      </c>
      <c r="D91" s="12">
        <v>2.5000000000000001E-2</v>
      </c>
      <c r="E91" s="12">
        <v>3.1E-2</v>
      </c>
      <c r="F91" s="12">
        <v>2.7E-2</v>
      </c>
      <c r="G91" s="12">
        <v>2.7E-2</v>
      </c>
      <c r="H91" s="12">
        <v>2.8000000000000001E-2</v>
      </c>
      <c r="I91" s="12">
        <v>4.3999999999999997E-2</v>
      </c>
    </row>
    <row r="92" spans="1:9" ht="14.4" x14ac:dyDescent="0.3">
      <c r="A92" s="6" t="s">
        <v>41</v>
      </c>
      <c r="B92" s="13">
        <v>0.25900000000000001</v>
      </c>
      <c r="C92" s="13">
        <v>0.28699999999999998</v>
      </c>
      <c r="D92" s="13">
        <v>0.26400000000000001</v>
      </c>
      <c r="E92" s="11">
        <v>0.27179999999999999</v>
      </c>
      <c r="F92" s="11">
        <v>0.28860000000000002</v>
      </c>
      <c r="G92" s="11">
        <v>0.30209999999999998</v>
      </c>
      <c r="H92" s="11">
        <v>0.3831</v>
      </c>
      <c r="I92" s="11">
        <v>0.46279999999999999</v>
      </c>
    </row>
    <row r="93" spans="1:9" ht="14.4" x14ac:dyDescent="0.3">
      <c r="A93" s="6" t="s">
        <v>42</v>
      </c>
      <c r="B93" s="12">
        <v>0.126</v>
      </c>
      <c r="C93" s="12">
        <v>0.127</v>
      </c>
      <c r="D93" s="10">
        <v>0.1371</v>
      </c>
      <c r="E93" s="10">
        <v>0.1406</v>
      </c>
      <c r="F93" s="10">
        <v>0.15659999999999999</v>
      </c>
      <c r="G93" s="10">
        <v>0.1353</v>
      </c>
      <c r="H93" s="10">
        <v>0.15440000000000001</v>
      </c>
      <c r="I93" s="10">
        <v>0.15329999999999999</v>
      </c>
    </row>
    <row r="94" spans="1:9" ht="14.4" x14ac:dyDescent="0.3">
      <c r="A94" s="6" t="s">
        <v>43</v>
      </c>
      <c r="B94" s="11">
        <v>7.5600000000000001E-2</v>
      </c>
      <c r="C94" s="11">
        <v>6.3899999999999998E-2</v>
      </c>
      <c r="D94" s="11">
        <v>7.2499999999999995E-2</v>
      </c>
      <c r="E94" s="11">
        <v>7.1599999999999997E-2</v>
      </c>
      <c r="F94" s="11">
        <v>7.46E-2</v>
      </c>
      <c r="G94" s="11">
        <v>7.2300000000000003E-2</v>
      </c>
      <c r="H94" s="13">
        <v>8.6999999999999994E-2</v>
      </c>
      <c r="I94" s="11">
        <v>9.7199999999999995E-2</v>
      </c>
    </row>
    <row r="95" spans="1:9" ht="14.4" x14ac:dyDescent="0.3">
      <c r="A95" s="6" t="s">
        <v>44</v>
      </c>
      <c r="B95" s="10">
        <v>9.5200000000000007E-2</v>
      </c>
      <c r="C95" s="10">
        <v>9.4700000000000006E-2</v>
      </c>
      <c r="D95" s="10">
        <v>8.8499999999999995E-2</v>
      </c>
      <c r="E95" s="10">
        <v>8.4099999999999994E-2</v>
      </c>
      <c r="F95" s="10">
        <v>7.9799999999999996E-2</v>
      </c>
      <c r="G95" s="12">
        <v>0.13100000000000001</v>
      </c>
      <c r="H95" s="10">
        <v>8.2400000000000001E-2</v>
      </c>
      <c r="I95" s="10">
        <v>8.3900000000000002E-2</v>
      </c>
    </row>
    <row r="96" spans="1:9" ht="14.4" x14ac:dyDescent="0.3">
      <c r="A96" s="6" t="s">
        <v>45</v>
      </c>
      <c r="B96" s="11">
        <v>4.1700000000000001E-2</v>
      </c>
      <c r="C96" s="11">
        <v>4.1399999999999999E-2</v>
      </c>
      <c r="D96" s="11">
        <v>4.1500000000000002E-2</v>
      </c>
      <c r="E96" s="11">
        <v>4.2799999999999998E-2</v>
      </c>
      <c r="F96" s="13">
        <v>4.2000000000000003E-2</v>
      </c>
      <c r="G96" s="11">
        <v>5.2299999999999999E-2</v>
      </c>
      <c r="H96" s="11">
        <v>6.1199999999999997E-2</v>
      </c>
      <c r="I96" s="11">
        <v>6.5299999999999997E-2</v>
      </c>
    </row>
    <row r="97" spans="1:9" ht="14.4" x14ac:dyDescent="0.3">
      <c r="A97" s="6" t="s">
        <v>46</v>
      </c>
      <c r="B97" s="10">
        <v>9.6500000000000002E-2</v>
      </c>
      <c r="C97" s="10">
        <v>0.1216</v>
      </c>
      <c r="D97" s="10">
        <v>0.11650000000000001</v>
      </c>
      <c r="E97" s="10">
        <v>9.3200000000000005E-2</v>
      </c>
      <c r="F97" s="10">
        <v>0.10979999999999999</v>
      </c>
      <c r="G97" s="10">
        <v>9.6500000000000002E-2</v>
      </c>
      <c r="H97" s="12">
        <v>0.128</v>
      </c>
      <c r="I97" s="10">
        <v>0.16250000000000001</v>
      </c>
    </row>
    <row r="98" spans="1:9" ht="14.4" x14ac:dyDescent="0.3">
      <c r="A98" s="6" t="s">
        <v>47</v>
      </c>
      <c r="B98" s="11">
        <v>0.1077</v>
      </c>
      <c r="C98" s="13">
        <v>0.105</v>
      </c>
      <c r="D98" s="11">
        <v>0.10440000000000001</v>
      </c>
      <c r="E98" s="11">
        <v>0.1042</v>
      </c>
      <c r="F98" s="11">
        <v>0.10489999999999999</v>
      </c>
      <c r="G98" s="11">
        <v>0.10639999999999999</v>
      </c>
      <c r="H98" s="11">
        <v>9.98E-2</v>
      </c>
      <c r="I98" s="11">
        <v>8.3099999999999993E-2</v>
      </c>
    </row>
    <row r="99" spans="1:9" ht="14.4" x14ac:dyDescent="0.3">
      <c r="A99" s="6" t="s">
        <v>48</v>
      </c>
      <c r="B99" s="10">
        <v>0.1615</v>
      </c>
      <c r="C99" s="10">
        <v>0.17380000000000001</v>
      </c>
      <c r="D99" s="10">
        <v>0.1812</v>
      </c>
      <c r="E99" s="10">
        <v>0.18779999999999999</v>
      </c>
      <c r="F99" s="10">
        <v>0.1915</v>
      </c>
      <c r="G99" s="12">
        <v>0.189</v>
      </c>
      <c r="H99" s="12">
        <v>0.19900000000000001</v>
      </c>
      <c r="I99" s="10">
        <v>0.12640000000000001</v>
      </c>
    </row>
    <row r="100" spans="1:9" ht="14.4" x14ac:dyDescent="0.3">
      <c r="A100" s="6" t="s">
        <v>49</v>
      </c>
      <c r="B100" s="11">
        <v>0.25659999999999999</v>
      </c>
      <c r="C100" s="11">
        <v>0.27429999999999999</v>
      </c>
      <c r="D100" s="11">
        <v>0.26469999999999999</v>
      </c>
      <c r="E100" s="11">
        <v>0.20050000000000001</v>
      </c>
      <c r="F100" s="11">
        <v>0.2167</v>
      </c>
      <c r="G100" s="11">
        <v>0.22090000000000001</v>
      </c>
      <c r="H100" s="11">
        <v>0.1943</v>
      </c>
      <c r="I100" s="11">
        <v>0.23549999999999999</v>
      </c>
    </row>
    <row r="101" spans="1:9" ht="14.4" x14ac:dyDescent="0.3">
      <c r="A101" s="6" t="s">
        <v>50</v>
      </c>
      <c r="B101" s="10">
        <v>0.25750000000000001</v>
      </c>
      <c r="C101" s="10">
        <v>0.23730000000000001</v>
      </c>
      <c r="D101" s="10">
        <v>0.22639999999999999</v>
      </c>
      <c r="E101" s="12">
        <v>0.19600000000000001</v>
      </c>
      <c r="F101" s="10">
        <v>0.2195</v>
      </c>
      <c r="G101" s="10">
        <v>0.2384</v>
      </c>
      <c r="H101" s="10">
        <v>0.2505</v>
      </c>
      <c r="I101" s="12">
        <v>0.27700000000000002</v>
      </c>
    </row>
    <row r="102" spans="1:9" ht="14.4" x14ac:dyDescent="0.3">
      <c r="A102" s="6" t="s">
        <v>51</v>
      </c>
      <c r="B102" s="11">
        <v>7.2599999999999998E-2</v>
      </c>
      <c r="C102" s="11">
        <v>0.21060000000000001</v>
      </c>
      <c r="D102" s="11">
        <v>0.21709999999999999</v>
      </c>
      <c r="E102" s="11">
        <v>0.26319999999999999</v>
      </c>
      <c r="F102" s="11">
        <v>0.23769999999999999</v>
      </c>
      <c r="G102" s="11">
        <v>0.2487</v>
      </c>
      <c r="H102" s="11">
        <v>0.24909999999999999</v>
      </c>
      <c r="I102" s="11">
        <v>0.28139999999999998</v>
      </c>
    </row>
    <row r="103" spans="1:9" ht="14.4" x14ac:dyDescent="0.3">
      <c r="A103" s="6" t="s">
        <v>52</v>
      </c>
      <c r="B103" s="10">
        <v>0.22550000000000001</v>
      </c>
      <c r="C103" s="12">
        <v>0.24299999999999999</v>
      </c>
      <c r="D103" s="12">
        <v>0.247</v>
      </c>
      <c r="E103" s="10">
        <v>0.2311</v>
      </c>
      <c r="F103" s="10">
        <v>0.25469999999999998</v>
      </c>
      <c r="G103" s="10">
        <v>0.27210000000000001</v>
      </c>
      <c r="H103" s="10">
        <v>0.27960000000000002</v>
      </c>
      <c r="I103" s="10">
        <v>0.33379999999999999</v>
      </c>
    </row>
    <row r="104" spans="1:9" ht="14.4" x14ac:dyDescent="0.3">
      <c r="A104" s="6" t="s">
        <v>53</v>
      </c>
      <c r="B104" s="11">
        <v>6.7699999999999996E-2</v>
      </c>
      <c r="C104" s="11">
        <v>5.9200000000000003E-2</v>
      </c>
      <c r="D104" s="11">
        <v>7.1900000000000006E-2</v>
      </c>
      <c r="E104" s="9" t="s">
        <v>54</v>
      </c>
      <c r="F104" s="9" t="s">
        <v>54</v>
      </c>
      <c r="G104" s="9" t="s">
        <v>54</v>
      </c>
      <c r="H104" s="9" t="s">
        <v>54</v>
      </c>
      <c r="I104" s="9" t="s">
        <v>54</v>
      </c>
    </row>
    <row r="105" spans="1:9" ht="14.4" x14ac:dyDescent="0.3">
      <c r="A105" s="6" t="s">
        <v>55</v>
      </c>
      <c r="B105" s="10">
        <v>9.01E-2</v>
      </c>
      <c r="C105" s="10">
        <v>8.9099999999999999E-2</v>
      </c>
      <c r="D105" s="10">
        <v>8.5199999999999998E-2</v>
      </c>
      <c r="E105" s="10">
        <v>9.0399999999999994E-2</v>
      </c>
      <c r="F105" s="10">
        <v>8.5900000000000004E-2</v>
      </c>
      <c r="G105" s="10">
        <v>8.7800000000000003E-2</v>
      </c>
      <c r="H105" s="10">
        <v>0.10929999999999999</v>
      </c>
      <c r="I105" s="12">
        <v>0.11899999999999999</v>
      </c>
    </row>
    <row r="106" spans="1:9" ht="14.4" x14ac:dyDescent="0.3">
      <c r="A106" s="6" t="s">
        <v>56</v>
      </c>
      <c r="B106" s="11">
        <v>8.72E-2</v>
      </c>
      <c r="C106" s="11">
        <v>8.7099999999999997E-2</v>
      </c>
      <c r="D106" s="11">
        <v>8.72E-2</v>
      </c>
      <c r="E106" s="11">
        <v>8.1199999999999994E-2</v>
      </c>
      <c r="F106" s="11">
        <v>7.4200000000000002E-2</v>
      </c>
      <c r="G106" s="11">
        <v>7.6799999999999993E-2</v>
      </c>
      <c r="H106" s="11">
        <v>7.6300000000000007E-2</v>
      </c>
      <c r="I106" s="11">
        <v>8.0199999999999994E-2</v>
      </c>
    </row>
    <row r="107" spans="1:9" ht="14.4" x14ac:dyDescent="0.3">
      <c r="A107" s="6" t="s">
        <v>57</v>
      </c>
      <c r="B107" s="10">
        <v>3.04E-2</v>
      </c>
      <c r="C107" s="10">
        <v>3.5099999999999999E-2</v>
      </c>
      <c r="D107" s="10">
        <v>3.2599999999999997E-2</v>
      </c>
      <c r="E107" s="10">
        <v>3.0300000000000001E-2</v>
      </c>
      <c r="F107" s="12">
        <v>2.3E-2</v>
      </c>
      <c r="G107" s="10">
        <v>2.9899999999999999E-2</v>
      </c>
      <c r="H107" s="12">
        <v>3.9E-2</v>
      </c>
      <c r="I107" s="10">
        <v>3.8300000000000001E-2</v>
      </c>
    </row>
    <row r="108" spans="1:9" ht="14.4" x14ac:dyDescent="0.3">
      <c r="A108" s="6" t="s">
        <v>58</v>
      </c>
      <c r="B108" s="11">
        <v>1.8599999999999998E-2</v>
      </c>
      <c r="C108" s="11">
        <v>1.78E-2</v>
      </c>
      <c r="D108" s="11">
        <v>2.07E-2</v>
      </c>
      <c r="E108" s="11">
        <v>1.89E-2</v>
      </c>
      <c r="F108" s="13">
        <v>2.3E-2</v>
      </c>
      <c r="G108" s="11">
        <v>4.2500000000000003E-2</v>
      </c>
      <c r="H108" s="13">
        <v>4.2999999999999997E-2</v>
      </c>
      <c r="I108" s="11">
        <v>3.7499999999999999E-2</v>
      </c>
    </row>
    <row r="109" spans="1:9" ht="14.4" x14ac:dyDescent="0.3">
      <c r="A109" s="6" t="s">
        <v>59</v>
      </c>
      <c r="B109" s="8" t="s">
        <v>54</v>
      </c>
      <c r="C109" s="10">
        <v>2.9399999999999999E-2</v>
      </c>
      <c r="D109" s="10">
        <v>3.5000000000000001E-3</v>
      </c>
      <c r="E109" s="10">
        <v>3.8999999999999998E-3</v>
      </c>
      <c r="F109" s="10">
        <v>5.7999999999999996E-3</v>
      </c>
      <c r="G109" s="10">
        <v>7.4999999999999997E-3</v>
      </c>
      <c r="H109" s="10">
        <v>7.1999999999999998E-3</v>
      </c>
      <c r="I109" s="10">
        <v>3.2899999999999999E-2</v>
      </c>
    </row>
    <row r="110" spans="1:9" ht="14.4" x14ac:dyDescent="0.3">
      <c r="A110" s="6" t="s">
        <v>61</v>
      </c>
      <c r="B110" s="13">
        <v>0</v>
      </c>
      <c r="C110" s="13">
        <v>0</v>
      </c>
      <c r="D110" s="13">
        <v>0</v>
      </c>
      <c r="E110" s="11">
        <v>4.4699999999999997E-2</v>
      </c>
      <c r="F110" s="11">
        <v>4.5499999999999999E-2</v>
      </c>
      <c r="G110" s="11">
        <v>6.2300000000000001E-2</v>
      </c>
      <c r="H110" s="11">
        <v>6.9400000000000003E-2</v>
      </c>
      <c r="I110" s="11">
        <v>7.3300000000000004E-2</v>
      </c>
    </row>
    <row r="111" spans="1:9" ht="14.4" x14ac:dyDescent="0.3">
      <c r="A111" s="6" t="s">
        <v>63</v>
      </c>
      <c r="B111" s="10">
        <v>0.1249</v>
      </c>
      <c r="C111" s="10">
        <v>0.12330000000000001</v>
      </c>
      <c r="D111" s="12">
        <v>0.11899999999999999</v>
      </c>
      <c r="E111" s="10">
        <v>0.1313</v>
      </c>
      <c r="F111" s="10">
        <v>0.14680000000000001</v>
      </c>
      <c r="G111" s="10">
        <v>0.15720000000000001</v>
      </c>
      <c r="H111" s="12">
        <v>0.159</v>
      </c>
      <c r="I111" s="10">
        <v>0.1492</v>
      </c>
    </row>
    <row r="112" spans="1:9" ht="14.4" x14ac:dyDescent="0.3">
      <c r="A112" s="6" t="s">
        <v>64</v>
      </c>
      <c r="B112" s="11">
        <v>2.7099999999999999E-2</v>
      </c>
      <c r="C112" s="11">
        <v>2.01E-2</v>
      </c>
      <c r="D112" s="11">
        <v>2.8299999999999999E-2</v>
      </c>
      <c r="E112" s="11">
        <v>2.4799999999999999E-2</v>
      </c>
      <c r="F112" s="11">
        <v>2.24E-2</v>
      </c>
      <c r="G112" s="11">
        <v>1.78E-2</v>
      </c>
      <c r="H112" s="11">
        <v>2.63E-2</v>
      </c>
      <c r="I112" s="11">
        <v>3.0499999999999999E-2</v>
      </c>
    </row>
    <row r="113" spans="1:9" ht="14.4" x14ac:dyDescent="0.3">
      <c r="A113" s="6" t="s">
        <v>65</v>
      </c>
      <c r="B113" s="8" t="s">
        <v>54</v>
      </c>
      <c r="C113" s="8" t="s">
        <v>54</v>
      </c>
      <c r="D113" s="8" t="s">
        <v>54</v>
      </c>
      <c r="E113" s="12">
        <v>0</v>
      </c>
      <c r="F113" s="8" t="s">
        <v>54</v>
      </c>
      <c r="G113" s="8" t="s">
        <v>54</v>
      </c>
      <c r="H113" s="8" t="s">
        <v>54</v>
      </c>
      <c r="I113" s="8" t="s">
        <v>54</v>
      </c>
    </row>
    <row r="114" spans="1:9" ht="14.4" x14ac:dyDescent="0.3">
      <c r="A114" s="6" t="s">
        <v>66</v>
      </c>
      <c r="B114" s="11">
        <v>2.5399999999999999E-2</v>
      </c>
      <c r="C114" s="11">
        <v>2.5399999999999999E-2</v>
      </c>
      <c r="D114" s="11">
        <v>3.4200000000000001E-2</v>
      </c>
      <c r="E114" s="11">
        <v>3.09E-2</v>
      </c>
      <c r="F114" s="11">
        <v>2.76E-2</v>
      </c>
      <c r="G114" s="11">
        <v>4.0099999999999997E-2</v>
      </c>
      <c r="H114" s="11">
        <v>3.61E-2</v>
      </c>
      <c r="I114" s="11">
        <v>3.1800000000000002E-2</v>
      </c>
    </row>
    <row r="115" spans="1:9" ht="14.4" x14ac:dyDescent="0.3"/>
    <row r="116" spans="1:9" ht="11.4" customHeight="1" x14ac:dyDescent="0.3">
      <c r="A116" s="1" t="s">
        <v>67</v>
      </c>
    </row>
    <row r="117" spans="1:9" ht="14.4" x14ac:dyDescent="0.3">
      <c r="A117" s="1" t="s">
        <v>54</v>
      </c>
      <c r="B117" s="2" t="s">
        <v>68</v>
      </c>
    </row>
    <row r="118" spans="1:9" ht="14.4" x14ac:dyDescent="0.3">
      <c r="A118" s="1" t="s">
        <v>69</v>
      </c>
    </row>
    <row r="119" spans="1:9" ht="14.4" x14ac:dyDescent="0.3">
      <c r="A119" s="1" t="s">
        <v>31</v>
      </c>
      <c r="B119" s="2" t="s">
        <v>70</v>
      </c>
    </row>
    <row r="120" spans="1:9" ht="14.4" x14ac:dyDescent="0.3">
      <c r="A120" s="1" t="s">
        <v>60</v>
      </c>
      <c r="B120" s="2" t="s">
        <v>71</v>
      </c>
    </row>
    <row r="121" spans="1:9" ht="14.4" x14ac:dyDescent="0.3"/>
    <row r="122" spans="1:9" ht="11.4" customHeight="1" x14ac:dyDescent="0.3">
      <c r="A122" s="2" t="s">
        <v>0</v>
      </c>
    </row>
    <row r="123" spans="1:9" ht="14.4" x14ac:dyDescent="0.3">
      <c r="A123" s="2" t="s">
        <v>1</v>
      </c>
      <c r="B123" s="1" t="s">
        <v>2</v>
      </c>
    </row>
    <row r="124" spans="1:9" ht="14.4" x14ac:dyDescent="0.3">
      <c r="A124" s="2" t="s">
        <v>3</v>
      </c>
      <c r="B124" s="2" t="s">
        <v>4</v>
      </c>
    </row>
    <row r="125" spans="1:9" ht="14.4" x14ac:dyDescent="0.3"/>
    <row r="126" spans="1:9" ht="14.4" x14ac:dyDescent="0.3">
      <c r="A126" s="1" t="s">
        <v>5</v>
      </c>
    </row>
    <row r="127" spans="1:9" ht="14.4" x14ac:dyDescent="0.3">
      <c r="A127" s="1" t="s">
        <v>6</v>
      </c>
    </row>
    <row r="128" spans="1:9" ht="14.4" x14ac:dyDescent="0.3">
      <c r="A128" s="1" t="s">
        <v>7</v>
      </c>
    </row>
    <row r="129" spans="1:9" ht="14.4" x14ac:dyDescent="0.3">
      <c r="A129" s="1" t="s">
        <v>8</v>
      </c>
    </row>
    <row r="130" spans="1:9" ht="14.4" x14ac:dyDescent="0.3"/>
    <row r="131" spans="1:9" ht="14.4" x14ac:dyDescent="0.3">
      <c r="A131" s="4" t="s">
        <v>9</v>
      </c>
      <c r="B131" s="3" t="s">
        <v>10</v>
      </c>
      <c r="C131" s="3" t="s">
        <v>12</v>
      </c>
      <c r="D131" s="3" t="s">
        <v>13</v>
      </c>
      <c r="E131" s="3" t="s">
        <v>14</v>
      </c>
      <c r="F131" s="3" t="s">
        <v>15</v>
      </c>
      <c r="G131" s="3" t="s">
        <v>16</v>
      </c>
      <c r="H131" s="3" t="s">
        <v>17</v>
      </c>
      <c r="I131" s="3" t="s">
        <v>18</v>
      </c>
    </row>
    <row r="132" spans="1:9" ht="14.4" x14ac:dyDescent="0.3">
      <c r="A132" s="5" t="s">
        <v>19</v>
      </c>
      <c r="B132" s="7" t="s">
        <v>11</v>
      </c>
      <c r="C132" s="7" t="s">
        <v>11</v>
      </c>
      <c r="D132" s="7" t="s">
        <v>11</v>
      </c>
      <c r="E132" s="7" t="s">
        <v>11</v>
      </c>
      <c r="F132" s="7" t="s">
        <v>11</v>
      </c>
      <c r="G132" s="7" t="s">
        <v>11</v>
      </c>
      <c r="H132" s="7" t="s">
        <v>11</v>
      </c>
      <c r="I132" s="7" t="s">
        <v>11</v>
      </c>
    </row>
    <row r="133" spans="1:9" ht="14.4" x14ac:dyDescent="0.3">
      <c r="A133" s="6" t="s">
        <v>20</v>
      </c>
      <c r="B133" s="8" t="s">
        <v>54</v>
      </c>
      <c r="C133" s="8" t="s">
        <v>54</v>
      </c>
      <c r="D133" s="10">
        <v>0.1268</v>
      </c>
      <c r="E133" s="10">
        <v>0.1195</v>
      </c>
      <c r="F133" s="10">
        <v>0.10580000000000001</v>
      </c>
      <c r="G133" s="10">
        <v>4.0800000000000003E-2</v>
      </c>
      <c r="H133" s="10">
        <v>5.0200000000000002E-2</v>
      </c>
      <c r="I133" s="10">
        <v>8.0600000000000005E-2</v>
      </c>
    </row>
    <row r="134" spans="1:9" ht="14.4" x14ac:dyDescent="0.3">
      <c r="A134" s="6" t="s">
        <v>21</v>
      </c>
      <c r="B134" s="9" t="s">
        <v>54</v>
      </c>
      <c r="C134" s="9" t="s">
        <v>54</v>
      </c>
      <c r="D134" s="11">
        <v>0.1381</v>
      </c>
      <c r="E134" s="13">
        <v>0.13</v>
      </c>
      <c r="F134" s="11">
        <v>0.11219999999999999</v>
      </c>
      <c r="G134" s="11">
        <v>3.4700000000000002E-2</v>
      </c>
      <c r="H134" s="11">
        <v>4.3700000000000003E-2</v>
      </c>
      <c r="I134" s="11">
        <v>7.7700000000000005E-2</v>
      </c>
    </row>
    <row r="135" spans="1:9" ht="14.4" x14ac:dyDescent="0.3">
      <c r="A135" s="6" t="s">
        <v>22</v>
      </c>
      <c r="B135" s="10">
        <v>0.23749999999999999</v>
      </c>
      <c r="C135" s="10">
        <v>0.12939999999999999</v>
      </c>
      <c r="D135" s="12">
        <v>0.13300000000000001</v>
      </c>
      <c r="E135" s="10">
        <v>0.12790000000000001</v>
      </c>
      <c r="F135" s="10">
        <v>0.12330000000000001</v>
      </c>
      <c r="G135" s="10">
        <v>8.8400000000000006E-2</v>
      </c>
      <c r="H135" s="10">
        <v>0.1095</v>
      </c>
      <c r="I135" s="10">
        <v>0.1135</v>
      </c>
    </row>
    <row r="136" spans="1:9" ht="14.4" x14ac:dyDescent="0.3">
      <c r="A136" s="6" t="s">
        <v>23</v>
      </c>
      <c r="B136" s="11">
        <v>1.6500000000000001E-2</v>
      </c>
      <c r="C136" s="11">
        <v>1.6799999999999999E-2</v>
      </c>
      <c r="D136" s="11">
        <v>1.6899999999999998E-2</v>
      </c>
      <c r="E136" s="11">
        <v>1.7299999999999999E-2</v>
      </c>
      <c r="F136" s="11">
        <v>1.8200000000000001E-2</v>
      </c>
      <c r="G136" s="11">
        <v>1.9099999999999999E-2</v>
      </c>
      <c r="H136" s="11">
        <v>1.9699999999999999E-2</v>
      </c>
      <c r="I136" s="11">
        <v>2.0299999999999999E-2</v>
      </c>
    </row>
    <row r="137" spans="1:9" ht="14.4" x14ac:dyDescent="0.3">
      <c r="A137" s="6" t="s">
        <v>24</v>
      </c>
      <c r="B137" s="10">
        <v>6.88E-2</v>
      </c>
      <c r="C137" s="12">
        <v>7.0999999999999994E-2</v>
      </c>
      <c r="D137" s="10">
        <v>7.6399999999999996E-2</v>
      </c>
      <c r="E137" s="10">
        <v>7.6399999999999996E-2</v>
      </c>
      <c r="F137" s="10">
        <v>7.1800000000000003E-2</v>
      </c>
      <c r="G137" s="10">
        <v>-2.86E-2</v>
      </c>
      <c r="H137" s="12">
        <v>0.1</v>
      </c>
      <c r="I137" s="10">
        <v>0.1273</v>
      </c>
    </row>
    <row r="138" spans="1:9" ht="14.4" x14ac:dyDescent="0.3">
      <c r="A138" s="6" t="s">
        <v>25</v>
      </c>
      <c r="B138" s="11">
        <v>0.22409999999999999</v>
      </c>
      <c r="C138" s="13">
        <v>0.22500000000000001</v>
      </c>
      <c r="D138" s="11">
        <v>0.20330000000000001</v>
      </c>
      <c r="E138" s="11">
        <v>0.20519999999999999</v>
      </c>
      <c r="F138" s="11">
        <v>0.20530000000000001</v>
      </c>
      <c r="G138" s="11">
        <v>0.2351</v>
      </c>
      <c r="H138" s="11">
        <v>0.14280000000000001</v>
      </c>
      <c r="I138" s="11">
        <v>0.1988</v>
      </c>
    </row>
    <row r="139" spans="1:9" ht="14.4" x14ac:dyDescent="0.3">
      <c r="A139" s="6" t="s">
        <v>26</v>
      </c>
      <c r="B139" s="8" t="s">
        <v>54</v>
      </c>
      <c r="C139" s="8" t="s">
        <v>54</v>
      </c>
      <c r="D139" s="10">
        <v>0.1837</v>
      </c>
      <c r="E139" s="10">
        <v>0.18490000000000001</v>
      </c>
      <c r="F139" s="10">
        <v>0.18909999999999999</v>
      </c>
      <c r="G139" s="10">
        <v>0.14810000000000001</v>
      </c>
      <c r="H139" s="10">
        <v>0.14410000000000001</v>
      </c>
      <c r="I139" s="10">
        <v>0.14779999999999999</v>
      </c>
    </row>
    <row r="140" spans="1:9" ht="14.4" x14ac:dyDescent="0.3">
      <c r="A140" s="6" t="s">
        <v>27</v>
      </c>
      <c r="B140" s="11">
        <v>3.7199999999999997E-2</v>
      </c>
      <c r="C140" s="11">
        <v>3.95E-2</v>
      </c>
      <c r="D140" s="11">
        <v>4.2200000000000001E-2</v>
      </c>
      <c r="E140" s="11">
        <v>3.9800000000000002E-2</v>
      </c>
      <c r="F140" s="11">
        <v>4.41E-2</v>
      </c>
      <c r="G140" s="11">
        <v>5.7200000000000001E-2</v>
      </c>
      <c r="H140" s="11">
        <v>6.25E-2</v>
      </c>
      <c r="I140" s="11">
        <v>6.7199999999999996E-2</v>
      </c>
    </row>
    <row r="141" spans="1:9" ht="14.4" x14ac:dyDescent="0.3">
      <c r="A141" s="6" t="s">
        <v>28</v>
      </c>
      <c r="B141" s="10">
        <v>0.11459999999999999</v>
      </c>
      <c r="C141" s="12">
        <v>0.112</v>
      </c>
      <c r="D141" s="10">
        <v>8.1500000000000003E-2</v>
      </c>
      <c r="E141" s="10">
        <v>8.9800000000000005E-2</v>
      </c>
      <c r="F141" s="10">
        <v>0.11169999999999999</v>
      </c>
      <c r="G141" s="10">
        <v>-0.1767</v>
      </c>
      <c r="H141" s="10">
        <v>-0.28660000000000002</v>
      </c>
      <c r="I141" s="10">
        <v>-0.16220000000000001</v>
      </c>
    </row>
    <row r="142" spans="1:9" ht="14.4" x14ac:dyDescent="0.3">
      <c r="A142" s="6" t="s">
        <v>29</v>
      </c>
      <c r="B142" s="13">
        <v>7.3999999999999996E-2</v>
      </c>
      <c r="C142" s="11">
        <v>5.8299999999999998E-2</v>
      </c>
      <c r="D142" s="11">
        <v>4.2700000000000002E-2</v>
      </c>
      <c r="E142" s="11">
        <v>3.8699999999999998E-2</v>
      </c>
      <c r="F142" s="11">
        <v>4.0800000000000003E-2</v>
      </c>
      <c r="G142" s="11">
        <v>-0.1163</v>
      </c>
      <c r="H142" s="11">
        <v>-3.2099999999999997E-2</v>
      </c>
      <c r="I142" s="11">
        <v>4.6600000000000003E-2</v>
      </c>
    </row>
    <row r="143" spans="1:9" ht="14.4" x14ac:dyDescent="0.3">
      <c r="A143" s="6" t="s">
        <v>30</v>
      </c>
      <c r="B143" s="10">
        <v>0.12180000000000001</v>
      </c>
      <c r="C143" s="10">
        <v>0.12189999999999999</v>
      </c>
      <c r="D143" s="10">
        <v>0.25940000000000002</v>
      </c>
      <c r="E143" s="10">
        <v>0.2787</v>
      </c>
      <c r="F143" s="12">
        <v>0.19600000000000001</v>
      </c>
      <c r="G143" s="10">
        <v>0.16239999999999999</v>
      </c>
      <c r="H143" s="10">
        <v>5.6300000000000003E-2</v>
      </c>
      <c r="I143" s="10">
        <v>0.11409999999999999</v>
      </c>
    </row>
    <row r="144" spans="1:9" ht="14.4" x14ac:dyDescent="0.3">
      <c r="A144" s="6" t="s">
        <v>32</v>
      </c>
      <c r="B144" s="11">
        <v>9.7600000000000006E-2</v>
      </c>
      <c r="C144" s="13">
        <v>9.2999999999999999E-2</v>
      </c>
      <c r="D144" s="11">
        <v>9.98E-2</v>
      </c>
      <c r="E144" s="11">
        <v>0.1116</v>
      </c>
      <c r="F144" s="11">
        <v>0.1065</v>
      </c>
      <c r="G144" s="11">
        <v>8.72E-2</v>
      </c>
      <c r="H144" s="11">
        <v>8.14E-2</v>
      </c>
      <c r="I144" s="11">
        <v>0.1062</v>
      </c>
    </row>
    <row r="145" spans="1:9" ht="14.4" x14ac:dyDescent="0.3">
      <c r="A145" s="6" t="s">
        <v>33</v>
      </c>
      <c r="B145" s="10">
        <v>2.9700000000000001E-2</v>
      </c>
      <c r="C145" s="10">
        <v>3.8699999999999998E-2</v>
      </c>
      <c r="D145" s="10">
        <v>3.8399999999999997E-2</v>
      </c>
      <c r="E145" s="10">
        <v>3.8199999999999998E-2</v>
      </c>
      <c r="F145" s="10">
        <v>3.7100000000000001E-2</v>
      </c>
      <c r="G145" s="10">
        <v>4.0099999999999997E-2</v>
      </c>
      <c r="H145" s="10">
        <v>4.1500000000000002E-2</v>
      </c>
      <c r="I145" s="12">
        <v>4.2000000000000003E-2</v>
      </c>
    </row>
    <row r="146" spans="1:9" ht="14.4" x14ac:dyDescent="0.3">
      <c r="A146" s="6" t="s">
        <v>34</v>
      </c>
      <c r="B146" s="11">
        <v>8.7499999999999994E-2</v>
      </c>
      <c r="C146" s="13">
        <v>8.8999999999999996E-2</v>
      </c>
      <c r="D146" s="11">
        <v>0.1888</v>
      </c>
      <c r="E146" s="11">
        <v>0.18459999999999999</v>
      </c>
      <c r="F146" s="11">
        <v>0.1502</v>
      </c>
      <c r="G146" s="11">
        <v>6.6500000000000004E-2</v>
      </c>
      <c r="H146" s="13">
        <v>0.13</v>
      </c>
      <c r="I146" s="11">
        <v>0.1623</v>
      </c>
    </row>
    <row r="147" spans="1:9" ht="14.4" x14ac:dyDescent="0.3">
      <c r="A147" s="6" t="s">
        <v>35</v>
      </c>
      <c r="B147" s="10">
        <v>5.6899999999999999E-2</v>
      </c>
      <c r="C147" s="10">
        <v>7.3700000000000002E-2</v>
      </c>
      <c r="D147" s="10">
        <v>8.2699999999999996E-2</v>
      </c>
      <c r="E147" s="10">
        <v>8.2299999999999998E-2</v>
      </c>
      <c r="F147" s="10">
        <v>0.1124</v>
      </c>
      <c r="G147" s="10">
        <v>9.9500000000000005E-2</v>
      </c>
      <c r="H147" s="10">
        <v>0.19850000000000001</v>
      </c>
      <c r="I147" s="10">
        <v>0.19589999999999999</v>
      </c>
    </row>
    <row r="148" spans="1:9" ht="14.4" x14ac:dyDescent="0.3">
      <c r="A148" s="6" t="s">
        <v>36</v>
      </c>
      <c r="B148" s="11">
        <v>5.9799999999999999E-2</v>
      </c>
      <c r="C148" s="11">
        <v>7.7899999999999997E-2</v>
      </c>
      <c r="D148" s="11">
        <v>7.5200000000000003E-2</v>
      </c>
      <c r="E148" s="11">
        <v>8.1100000000000005E-2</v>
      </c>
      <c r="F148" s="11">
        <v>7.7100000000000002E-2</v>
      </c>
      <c r="G148" s="11">
        <v>7.8799999999999995E-2</v>
      </c>
      <c r="H148" s="13">
        <v>0.08</v>
      </c>
      <c r="I148" s="11">
        <v>7.9399999999999998E-2</v>
      </c>
    </row>
    <row r="149" spans="1:9" ht="14.4" x14ac:dyDescent="0.3">
      <c r="A149" s="6" t="s">
        <v>37</v>
      </c>
      <c r="B149" s="10">
        <v>3.3599999999999998E-2</v>
      </c>
      <c r="C149" s="12">
        <v>3.3000000000000002E-2</v>
      </c>
      <c r="D149" s="10">
        <v>3.1600000000000003E-2</v>
      </c>
      <c r="E149" s="10">
        <v>3.44E-2</v>
      </c>
      <c r="F149" s="10">
        <v>3.7699999999999997E-2</v>
      </c>
      <c r="G149" s="10">
        <v>4.3099999999999999E-2</v>
      </c>
      <c r="H149" s="10">
        <v>4.0800000000000003E-2</v>
      </c>
      <c r="I149" s="10">
        <v>4.3700000000000003E-2</v>
      </c>
    </row>
    <row r="150" spans="1:9" ht="14.4" x14ac:dyDescent="0.3">
      <c r="A150" s="6" t="s">
        <v>38</v>
      </c>
      <c r="B150" s="11">
        <v>5.2900000000000003E-2</v>
      </c>
      <c r="C150" s="11">
        <v>4.8800000000000003E-2</v>
      </c>
      <c r="D150" s="11">
        <v>5.9400000000000001E-2</v>
      </c>
      <c r="E150" s="11">
        <v>6.3799999999999996E-2</v>
      </c>
      <c r="F150" s="11">
        <v>6.2399999999999997E-2</v>
      </c>
      <c r="G150" s="11">
        <v>4.4900000000000002E-2</v>
      </c>
      <c r="H150" s="11">
        <v>-8.0799999999999997E-2</v>
      </c>
      <c r="I150" s="11">
        <v>-8.6499999999999994E-2</v>
      </c>
    </row>
    <row r="151" spans="1:9" ht="14.4" x14ac:dyDescent="0.3">
      <c r="A151" s="6" t="s">
        <v>39</v>
      </c>
      <c r="B151" s="10">
        <v>2.7400000000000001E-2</v>
      </c>
      <c r="C151" s="10">
        <v>2.4500000000000001E-2</v>
      </c>
      <c r="D151" s="10">
        <v>2.4199999999999999E-2</v>
      </c>
      <c r="E151" s="12">
        <v>2.1999999999999999E-2</v>
      </c>
      <c r="F151" s="10">
        <v>2.1299999999999999E-2</v>
      </c>
      <c r="G151" s="10">
        <v>1.84E-2</v>
      </c>
      <c r="H151" s="10">
        <v>1.7899999999999999E-2</v>
      </c>
      <c r="I151" s="10">
        <v>2.0400000000000001E-2</v>
      </c>
    </row>
    <row r="152" spans="1:9" ht="14.4" x14ac:dyDescent="0.3">
      <c r="A152" s="6" t="s">
        <v>40</v>
      </c>
      <c r="B152" s="13">
        <v>0.02</v>
      </c>
      <c r="C152" s="11">
        <v>1.9099999999999999E-2</v>
      </c>
      <c r="D152" s="11">
        <v>1.8800000000000001E-2</v>
      </c>
      <c r="E152" s="13">
        <v>1.9E-2</v>
      </c>
      <c r="F152" s="11">
        <v>1.9400000000000001E-2</v>
      </c>
      <c r="G152" s="11">
        <v>1.9900000000000001E-2</v>
      </c>
      <c r="H152" s="11">
        <v>1.84E-2</v>
      </c>
      <c r="I152" s="11">
        <v>1.83E-2</v>
      </c>
    </row>
    <row r="153" spans="1:9" ht="14.4" x14ac:dyDescent="0.3">
      <c r="A153" s="6" t="s">
        <v>41</v>
      </c>
      <c r="B153" s="12">
        <v>-0.46300000000000002</v>
      </c>
      <c r="C153" s="12">
        <v>-0.439</v>
      </c>
      <c r="D153" s="12">
        <v>-0.29899999999999999</v>
      </c>
      <c r="E153" s="10">
        <v>-0.64580000000000004</v>
      </c>
      <c r="F153" s="10">
        <v>-0.68389999999999995</v>
      </c>
      <c r="G153" s="10">
        <v>-1.4582999999999999</v>
      </c>
      <c r="H153" s="10">
        <v>-0.97050000000000003</v>
      </c>
      <c r="I153" s="10">
        <v>-0.83960000000000001</v>
      </c>
    </row>
    <row r="154" spans="1:9" ht="14.4" x14ac:dyDescent="0.3">
      <c r="A154" s="6" t="s">
        <v>42</v>
      </c>
      <c r="B154" s="11">
        <v>0.16689999999999999</v>
      </c>
      <c r="C154" s="11">
        <v>0.15110000000000001</v>
      </c>
      <c r="D154" s="11">
        <v>0.15379999999999999</v>
      </c>
      <c r="E154" s="11">
        <v>0.1661</v>
      </c>
      <c r="F154" s="11">
        <v>0.18959999999999999</v>
      </c>
      <c r="G154" s="13">
        <v>8.2000000000000003E-2</v>
      </c>
      <c r="H154" s="11">
        <v>4.1000000000000003E-3</v>
      </c>
      <c r="I154" s="11">
        <v>-1.83E-2</v>
      </c>
    </row>
    <row r="155" spans="1:9" ht="14.4" x14ac:dyDescent="0.3">
      <c r="A155" s="6" t="s">
        <v>43</v>
      </c>
      <c r="B155" s="10">
        <v>6.1499999999999999E-2</v>
      </c>
      <c r="C155" s="10">
        <v>5.9400000000000001E-2</v>
      </c>
      <c r="D155" s="10">
        <v>5.7799999999999997E-2</v>
      </c>
      <c r="E155" s="10">
        <v>7.0800000000000002E-2</v>
      </c>
      <c r="F155" s="10">
        <v>9.2499999999999999E-2</v>
      </c>
      <c r="G155" s="10">
        <v>8.3400000000000002E-2</v>
      </c>
      <c r="H155" s="10">
        <v>0.1273</v>
      </c>
      <c r="I155" s="10">
        <v>0.1237</v>
      </c>
    </row>
    <row r="156" spans="1:9" ht="14.4" x14ac:dyDescent="0.3">
      <c r="A156" s="6" t="s">
        <v>44</v>
      </c>
      <c r="B156" s="11">
        <v>0.2152</v>
      </c>
      <c r="C156" s="11">
        <v>0.25030000000000002</v>
      </c>
      <c r="D156" s="11">
        <v>0.18079999999999999</v>
      </c>
      <c r="E156" s="11">
        <v>0.1865</v>
      </c>
      <c r="F156" s="13">
        <v>0.188</v>
      </c>
      <c r="G156" s="13">
        <v>5.3999999999999999E-2</v>
      </c>
      <c r="H156" s="11">
        <v>1.1000000000000001E-3</v>
      </c>
      <c r="I156" s="11">
        <v>0.1205</v>
      </c>
    </row>
    <row r="157" spans="1:9" ht="14.4" x14ac:dyDescent="0.3">
      <c r="A157" s="6" t="s">
        <v>45</v>
      </c>
      <c r="B157" s="10">
        <v>3.3500000000000002E-2</v>
      </c>
      <c r="C157" s="10">
        <v>3.4700000000000002E-2</v>
      </c>
      <c r="D157" s="10">
        <v>3.8300000000000001E-2</v>
      </c>
      <c r="E157" s="10">
        <v>4.1300000000000003E-2</v>
      </c>
      <c r="F157" s="10">
        <v>4.3099999999999999E-2</v>
      </c>
      <c r="G157" s="10">
        <v>6.6299999999999998E-2</v>
      </c>
      <c r="H157" s="10">
        <v>4.1700000000000001E-2</v>
      </c>
      <c r="I157" s="10">
        <v>4.41E-2</v>
      </c>
    </row>
    <row r="158" spans="1:9" ht="14.4" x14ac:dyDescent="0.3">
      <c r="A158" s="6" t="s">
        <v>46</v>
      </c>
      <c r="B158" s="13">
        <v>0.106</v>
      </c>
      <c r="C158" s="11">
        <v>0.14130000000000001</v>
      </c>
      <c r="D158" s="11">
        <v>0.1391</v>
      </c>
      <c r="E158" s="11">
        <v>0.1115</v>
      </c>
      <c r="F158" s="11">
        <v>0.1401</v>
      </c>
      <c r="G158" s="13">
        <v>9.1999999999999998E-2</v>
      </c>
      <c r="H158" s="11">
        <v>9.3100000000000002E-2</v>
      </c>
      <c r="I158" s="11">
        <v>6.1199999999999997E-2</v>
      </c>
    </row>
    <row r="159" spans="1:9" ht="14.4" x14ac:dyDescent="0.3">
      <c r="A159" s="6" t="s">
        <v>47</v>
      </c>
      <c r="B159" s="10">
        <v>7.6100000000000001E-2</v>
      </c>
      <c r="C159" s="10">
        <v>7.6899999999999996E-2</v>
      </c>
      <c r="D159" s="10">
        <v>7.7200000000000005E-2</v>
      </c>
      <c r="E159" s="10">
        <v>7.6899999999999996E-2</v>
      </c>
      <c r="F159" s="10">
        <v>7.6200000000000004E-2</v>
      </c>
      <c r="G159" s="10">
        <v>7.2099999999999997E-2</v>
      </c>
      <c r="H159" s="10">
        <v>9.11E-2</v>
      </c>
      <c r="I159" s="10">
        <v>7.0199999999999999E-2</v>
      </c>
    </row>
    <row r="160" spans="1:9" ht="14.4" x14ac:dyDescent="0.3">
      <c r="A160" s="6" t="s">
        <v>48</v>
      </c>
      <c r="B160" s="13">
        <v>8.7999999999999995E-2</v>
      </c>
      <c r="C160" s="11">
        <v>9.1700000000000004E-2</v>
      </c>
      <c r="D160" s="11">
        <v>9.4700000000000006E-2</v>
      </c>
      <c r="E160" s="11">
        <v>9.4100000000000003E-2</v>
      </c>
      <c r="F160" s="11">
        <v>9.4299999999999995E-2</v>
      </c>
      <c r="G160" s="11">
        <v>9.9500000000000005E-2</v>
      </c>
      <c r="H160" s="11">
        <v>9.7699999999999995E-2</v>
      </c>
      <c r="I160" s="11">
        <v>8.5300000000000001E-2</v>
      </c>
    </row>
    <row r="161" spans="1:9" ht="14.4" x14ac:dyDescent="0.3">
      <c r="A161" s="6" t="s">
        <v>49</v>
      </c>
      <c r="B161" s="10">
        <v>0.1192</v>
      </c>
      <c r="C161" s="10">
        <v>0.1275</v>
      </c>
      <c r="D161" s="10">
        <v>0.12720000000000001</v>
      </c>
      <c r="E161" s="10">
        <v>0.1076</v>
      </c>
      <c r="F161" s="10">
        <v>0.1229</v>
      </c>
      <c r="G161" s="10">
        <v>7.7200000000000005E-2</v>
      </c>
      <c r="H161" s="10">
        <v>0.1164</v>
      </c>
      <c r="I161" s="10">
        <v>0.1268</v>
      </c>
    </row>
    <row r="162" spans="1:9" ht="14.4" x14ac:dyDescent="0.3">
      <c r="A162" s="6" t="s">
        <v>50</v>
      </c>
      <c r="B162" s="11">
        <v>7.6499999999999999E-2</v>
      </c>
      <c r="C162" s="11">
        <v>7.1400000000000005E-2</v>
      </c>
      <c r="D162" s="11">
        <v>6.83E-2</v>
      </c>
      <c r="E162" s="11">
        <v>5.91E-2</v>
      </c>
      <c r="F162" s="13">
        <v>6.6000000000000003E-2</v>
      </c>
      <c r="G162" s="11">
        <v>7.2099999999999997E-2</v>
      </c>
      <c r="H162" s="13">
        <v>7.4999999999999997E-2</v>
      </c>
      <c r="I162" s="11">
        <v>8.2600000000000007E-2</v>
      </c>
    </row>
    <row r="163" spans="1:9" ht="14.4" x14ac:dyDescent="0.3">
      <c r="A163" s="6" t="s">
        <v>51</v>
      </c>
      <c r="B163" s="10">
        <v>2.5600000000000001E-2</v>
      </c>
      <c r="C163" s="10">
        <v>3.6400000000000002E-2</v>
      </c>
      <c r="D163" s="10">
        <v>3.7699999999999997E-2</v>
      </c>
      <c r="E163" s="10">
        <v>4.1500000000000002E-2</v>
      </c>
      <c r="F163" s="10">
        <v>4.0099999999999997E-2</v>
      </c>
      <c r="G163" s="10">
        <v>4.2900000000000001E-2</v>
      </c>
      <c r="H163" s="10">
        <v>5.5500000000000001E-2</v>
      </c>
      <c r="I163" s="10">
        <v>5.1799999999999999E-2</v>
      </c>
    </row>
    <row r="164" spans="1:9" ht="14.4" x14ac:dyDescent="0.3">
      <c r="A164" s="6" t="s">
        <v>52</v>
      </c>
      <c r="B164" s="11">
        <v>8.6900000000000005E-2</v>
      </c>
      <c r="C164" s="11">
        <v>9.4299999999999995E-2</v>
      </c>
      <c r="D164" s="11">
        <v>9.2499999999999999E-2</v>
      </c>
      <c r="E164" s="11">
        <v>8.09E-2</v>
      </c>
      <c r="F164" s="11">
        <v>9.3200000000000005E-2</v>
      </c>
      <c r="G164" s="11">
        <v>2.6200000000000001E-2</v>
      </c>
      <c r="H164" s="11">
        <v>7.7799999999999994E-2</v>
      </c>
      <c r="I164" s="11">
        <v>0.1004</v>
      </c>
    </row>
    <row r="165" spans="1:9" ht="14.4" x14ac:dyDescent="0.3">
      <c r="A165" s="6" t="s">
        <v>53</v>
      </c>
      <c r="B165" s="10">
        <v>7.3899999999999993E-2</v>
      </c>
      <c r="C165" s="10">
        <v>8.3900000000000002E-2</v>
      </c>
      <c r="D165" s="10">
        <v>0.1017</v>
      </c>
      <c r="E165" s="8" t="s">
        <v>54</v>
      </c>
      <c r="F165" s="8" t="s">
        <v>54</v>
      </c>
      <c r="G165" s="8" t="s">
        <v>54</v>
      </c>
      <c r="H165" s="8" t="s">
        <v>54</v>
      </c>
      <c r="I165" s="8" t="s">
        <v>54</v>
      </c>
    </row>
    <row r="166" spans="1:9" ht="14.4" x14ac:dyDescent="0.3">
      <c r="A166" s="6" t="s">
        <v>55</v>
      </c>
      <c r="B166" s="11">
        <v>3.2199999999999999E-2</v>
      </c>
      <c r="C166" s="11">
        <v>3.1199999999999999E-2</v>
      </c>
      <c r="D166" s="11">
        <v>3.0599999999999999E-2</v>
      </c>
      <c r="E166" s="11">
        <v>3.2899999999999999E-2</v>
      </c>
      <c r="F166" s="11">
        <v>3.1800000000000002E-2</v>
      </c>
      <c r="G166" s="11">
        <v>3.2199999999999999E-2</v>
      </c>
      <c r="H166" s="11">
        <v>3.2099999999999997E-2</v>
      </c>
      <c r="I166" s="11">
        <v>3.8699999999999998E-2</v>
      </c>
    </row>
    <row r="167" spans="1:9" ht="14.4" x14ac:dyDescent="0.3">
      <c r="A167" s="6" t="s">
        <v>56</v>
      </c>
      <c r="B167" s="10">
        <v>4.6100000000000002E-2</v>
      </c>
      <c r="C167" s="10">
        <v>4.82E-2</v>
      </c>
      <c r="D167" s="12">
        <v>4.4999999999999998E-2</v>
      </c>
      <c r="E167" s="10">
        <v>4.3499999999999997E-2</v>
      </c>
      <c r="F167" s="10">
        <v>3.44E-2</v>
      </c>
      <c r="G167" s="10">
        <v>3.4200000000000001E-2</v>
      </c>
      <c r="H167" s="10">
        <v>3.44E-2</v>
      </c>
      <c r="I167" s="10">
        <v>3.15E-2</v>
      </c>
    </row>
    <row r="168" spans="1:9" ht="14.4" x14ac:dyDescent="0.3">
      <c r="A168" s="6" t="s">
        <v>57</v>
      </c>
      <c r="B168" s="9" t="s">
        <v>54</v>
      </c>
      <c r="C168" s="11">
        <v>8.0000000000000004E-4</v>
      </c>
      <c r="D168" s="11">
        <v>2.0000000000000001E-4</v>
      </c>
      <c r="E168" s="13">
        <v>0</v>
      </c>
      <c r="F168" s="13">
        <v>0</v>
      </c>
      <c r="G168" s="11">
        <v>4.1999999999999997E-3</v>
      </c>
      <c r="H168" s="13">
        <v>0</v>
      </c>
      <c r="I168" s="13">
        <v>0</v>
      </c>
    </row>
    <row r="169" spans="1:9" ht="14.4" x14ac:dyDescent="0.3">
      <c r="A169" s="6" t="s">
        <v>58</v>
      </c>
      <c r="B169" s="10">
        <v>1.2699999999999999E-2</v>
      </c>
      <c r="C169" s="10">
        <v>1.2200000000000001E-2</v>
      </c>
      <c r="D169" s="10">
        <v>1.2200000000000001E-2</v>
      </c>
      <c r="E169" s="10">
        <v>1.2200000000000001E-2</v>
      </c>
      <c r="F169" s="10">
        <v>4.7000000000000002E-3</v>
      </c>
      <c r="G169" s="10">
        <v>4.7999999999999996E-3</v>
      </c>
      <c r="H169" s="10">
        <v>1.43E-2</v>
      </c>
      <c r="I169" s="10">
        <v>3.2599999999999997E-2</v>
      </c>
    </row>
    <row r="170" spans="1:9" ht="14.4" x14ac:dyDescent="0.3">
      <c r="A170" s="6" t="s">
        <v>59</v>
      </c>
      <c r="B170" s="9" t="s">
        <v>54</v>
      </c>
      <c r="C170" s="11">
        <v>8.8000000000000005E-3</v>
      </c>
      <c r="D170" s="11">
        <v>7.1000000000000004E-3</v>
      </c>
      <c r="E170" s="11">
        <v>6.6E-3</v>
      </c>
      <c r="F170" s="11">
        <v>5.4300000000000001E-2</v>
      </c>
      <c r="G170" s="11">
        <v>7.3800000000000004E-2</v>
      </c>
      <c r="H170" s="11">
        <v>1.0800000000000001E-2</v>
      </c>
      <c r="I170" s="11">
        <v>8.0999999999999996E-3</v>
      </c>
    </row>
    <row r="171" spans="1:9" ht="14.4" x14ac:dyDescent="0.3">
      <c r="A171" s="6" t="s">
        <v>61</v>
      </c>
      <c r="B171" s="10">
        <v>1.43E-2</v>
      </c>
      <c r="C171" s="10">
        <v>1.52E-2</v>
      </c>
      <c r="D171" s="10">
        <v>1.5599999999999999E-2</v>
      </c>
      <c r="E171" s="10">
        <v>1.5299999999999999E-2</v>
      </c>
      <c r="F171" s="10">
        <v>1.5599999999999999E-2</v>
      </c>
      <c r="G171" s="10">
        <v>1.6299999999999999E-2</v>
      </c>
      <c r="H171" s="10">
        <v>1.8100000000000002E-2</v>
      </c>
      <c r="I171" s="10">
        <v>1.9199999999999998E-2</v>
      </c>
    </row>
    <row r="172" spans="1:9" ht="14.4" x14ac:dyDescent="0.3">
      <c r="A172" s="6" t="s">
        <v>63</v>
      </c>
      <c r="B172" s="11">
        <v>5.4800000000000001E-2</v>
      </c>
      <c r="C172" s="11">
        <v>5.5899999999999998E-2</v>
      </c>
      <c r="D172" s="13">
        <v>5.6000000000000001E-2</v>
      </c>
      <c r="E172" s="11">
        <v>5.79E-2</v>
      </c>
      <c r="F172" s="11">
        <v>6.7400000000000002E-2</v>
      </c>
      <c r="G172" s="11">
        <v>7.1800000000000003E-2</v>
      </c>
      <c r="H172" s="11">
        <v>7.8899999999999998E-2</v>
      </c>
      <c r="I172" s="13">
        <v>7.6999999999999999E-2</v>
      </c>
    </row>
    <row r="173" spans="1:9" ht="14.4" x14ac:dyDescent="0.3">
      <c r="A173" s="6" t="s">
        <v>64</v>
      </c>
      <c r="B173" s="10">
        <v>1.8599999999999998E-2</v>
      </c>
      <c r="C173" s="10">
        <v>1.5299999999999999E-2</v>
      </c>
      <c r="D173" s="10">
        <v>1.83E-2</v>
      </c>
      <c r="E173" s="10">
        <v>1.5900000000000001E-2</v>
      </c>
      <c r="F173" s="10">
        <v>1.47E-2</v>
      </c>
      <c r="G173" s="10">
        <v>8.8999999999999999E-3</v>
      </c>
      <c r="H173" s="10">
        <v>5.4999999999999997E-3</v>
      </c>
      <c r="I173" s="10">
        <v>5.4000000000000003E-3</v>
      </c>
    </row>
    <row r="174" spans="1:9" ht="14.4" x14ac:dyDescent="0.3">
      <c r="A174" s="6" t="s">
        <v>65</v>
      </c>
      <c r="B174" s="9" t="s">
        <v>54</v>
      </c>
      <c r="C174" s="9" t="s">
        <v>54</v>
      </c>
      <c r="D174" s="9" t="s">
        <v>54</v>
      </c>
      <c r="E174" s="13">
        <v>0</v>
      </c>
      <c r="F174" s="9" t="s">
        <v>54</v>
      </c>
      <c r="G174" s="9" t="s">
        <v>54</v>
      </c>
      <c r="H174" s="9" t="s">
        <v>54</v>
      </c>
      <c r="I174" s="9" t="s">
        <v>54</v>
      </c>
    </row>
    <row r="175" spans="1:9" ht="14.4" x14ac:dyDescent="0.3">
      <c r="A175" s="6" t="s">
        <v>66</v>
      </c>
      <c r="B175" s="10">
        <v>9.7999999999999997E-3</v>
      </c>
      <c r="C175" s="10">
        <v>7.7999999999999996E-3</v>
      </c>
      <c r="D175" s="10">
        <v>8.3000000000000001E-3</v>
      </c>
      <c r="E175" s="10">
        <v>9.5999999999999992E-3</v>
      </c>
      <c r="F175" s="10">
        <v>9.1999999999999998E-3</v>
      </c>
      <c r="G175" s="10">
        <v>6.7999999999999996E-3</v>
      </c>
      <c r="H175" s="12">
        <v>8.9999999999999993E-3</v>
      </c>
      <c r="I175" s="10">
        <v>1.17E-2</v>
      </c>
    </row>
    <row r="176" spans="1:9" ht="14.4" x14ac:dyDescent="0.3"/>
    <row r="177" spans="1:9" ht="11.4" customHeight="1" x14ac:dyDescent="0.3">
      <c r="A177" s="1" t="s">
        <v>67</v>
      </c>
    </row>
    <row r="178" spans="1:9" ht="14.4" x14ac:dyDescent="0.3">
      <c r="A178" s="1" t="s">
        <v>54</v>
      </c>
      <c r="B178" s="2" t="s">
        <v>68</v>
      </c>
    </row>
    <row r="179" spans="1:9" ht="14.4" x14ac:dyDescent="0.3">
      <c r="A179" s="1" t="s">
        <v>69</v>
      </c>
    </row>
    <row r="180" spans="1:9" ht="14.4" x14ac:dyDescent="0.3">
      <c r="A180" s="1" t="s">
        <v>31</v>
      </c>
      <c r="B180" s="2" t="s">
        <v>70</v>
      </c>
    </row>
    <row r="181" spans="1:9" ht="14.4" x14ac:dyDescent="0.3">
      <c r="A181" s="1" t="s">
        <v>60</v>
      </c>
      <c r="B181" s="2" t="s">
        <v>71</v>
      </c>
    </row>
    <row r="182" spans="1:9" ht="14.4" x14ac:dyDescent="0.3"/>
    <row r="183" spans="1:9" ht="11.4" customHeight="1" x14ac:dyDescent="0.3">
      <c r="A183" s="2" t="s">
        <v>0</v>
      </c>
    </row>
    <row r="184" spans="1:9" ht="14.4" x14ac:dyDescent="0.3">
      <c r="A184" s="2" t="s">
        <v>1</v>
      </c>
      <c r="B184" s="1" t="s">
        <v>2</v>
      </c>
    </row>
    <row r="185" spans="1:9" ht="14.4" x14ac:dyDescent="0.3">
      <c r="A185" s="2" t="s">
        <v>3</v>
      </c>
      <c r="B185" s="2" t="s">
        <v>4</v>
      </c>
    </row>
    <row r="186" spans="1:9" ht="14.4" x14ac:dyDescent="0.3"/>
    <row r="187" spans="1:9" ht="14.4" x14ac:dyDescent="0.3">
      <c r="A187" s="1" t="s">
        <v>5</v>
      </c>
    </row>
    <row r="188" spans="1:9" ht="14.4" x14ac:dyDescent="0.3">
      <c r="A188" s="1" t="s">
        <v>6</v>
      </c>
    </row>
    <row r="189" spans="1:9" ht="14.4" x14ac:dyDescent="0.3">
      <c r="A189" s="1" t="s">
        <v>7</v>
      </c>
    </row>
    <row r="190" spans="1:9" ht="14.4" x14ac:dyDescent="0.3">
      <c r="A190" s="1" t="s">
        <v>8</v>
      </c>
    </row>
    <row r="191" spans="1:9" ht="14.4" x14ac:dyDescent="0.3"/>
    <row r="192" spans="1:9" ht="14.4" x14ac:dyDescent="0.3">
      <c r="A192" s="4" t="s">
        <v>9</v>
      </c>
      <c r="B192" s="3" t="s">
        <v>10</v>
      </c>
      <c r="C192" s="3" t="s">
        <v>12</v>
      </c>
      <c r="D192" s="3" t="s">
        <v>13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18</v>
      </c>
    </row>
    <row r="193" spans="1:9" ht="14.4" x14ac:dyDescent="0.3">
      <c r="A193" s="5" t="s">
        <v>19</v>
      </c>
      <c r="B193" s="7" t="s">
        <v>11</v>
      </c>
      <c r="C193" s="7" t="s">
        <v>11</v>
      </c>
      <c r="D193" s="7" t="s">
        <v>11</v>
      </c>
      <c r="E193" s="7" t="s">
        <v>11</v>
      </c>
      <c r="F193" s="7" t="s">
        <v>11</v>
      </c>
      <c r="G193" s="7" t="s">
        <v>11</v>
      </c>
      <c r="H193" s="7" t="s">
        <v>11</v>
      </c>
      <c r="I193" s="7" t="s">
        <v>11</v>
      </c>
    </row>
    <row r="194" spans="1:9" ht="14.4" x14ac:dyDescent="0.3">
      <c r="A194" s="6" t="s">
        <v>20</v>
      </c>
      <c r="B194" s="9" t="s">
        <v>54</v>
      </c>
      <c r="C194" s="9" t="s">
        <v>54</v>
      </c>
      <c r="D194" s="11">
        <v>5.5899999999999998E-2</v>
      </c>
      <c r="E194" s="11">
        <v>5.3900000000000003E-2</v>
      </c>
      <c r="F194" s="11">
        <v>5.0099999999999999E-2</v>
      </c>
      <c r="G194" s="13">
        <v>4.9000000000000002E-2</v>
      </c>
      <c r="H194" s="11">
        <v>5.3600000000000002E-2</v>
      </c>
      <c r="I194" s="11">
        <v>6.0499999999999998E-2</v>
      </c>
    </row>
    <row r="195" spans="1:9" ht="14.4" x14ac:dyDescent="0.3">
      <c r="A195" s="6" t="s">
        <v>21</v>
      </c>
      <c r="B195" s="8" t="s">
        <v>54</v>
      </c>
      <c r="C195" s="8" t="s">
        <v>54</v>
      </c>
      <c r="D195" s="10">
        <v>5.6500000000000002E-2</v>
      </c>
      <c r="E195" s="10">
        <v>5.5500000000000001E-2</v>
      </c>
      <c r="F195" s="10">
        <v>4.9299999999999997E-2</v>
      </c>
      <c r="G195" s="10">
        <v>4.6300000000000001E-2</v>
      </c>
      <c r="H195" s="10">
        <v>5.21E-2</v>
      </c>
      <c r="I195" s="10">
        <v>5.9799999999999999E-2</v>
      </c>
    </row>
    <row r="196" spans="1:9" ht="14.4" x14ac:dyDescent="0.3">
      <c r="A196" s="6" t="s">
        <v>22</v>
      </c>
      <c r="B196" s="11">
        <v>8.7499999999999994E-2</v>
      </c>
      <c r="C196" s="11">
        <v>7.3599999999999999E-2</v>
      </c>
      <c r="D196" s="11">
        <v>8.3299999999999999E-2</v>
      </c>
      <c r="E196" s="11">
        <v>7.8200000000000006E-2</v>
      </c>
      <c r="F196" s="11">
        <v>7.1499999999999994E-2</v>
      </c>
      <c r="G196" s="13">
        <v>4.2000000000000003E-2</v>
      </c>
      <c r="H196" s="11">
        <v>2.92E-2</v>
      </c>
      <c r="I196" s="11">
        <v>2.6100000000000002E-2</v>
      </c>
    </row>
    <row r="197" spans="1:9" ht="14.4" x14ac:dyDescent="0.3">
      <c r="A197" s="6" t="s">
        <v>23</v>
      </c>
      <c r="B197" s="10">
        <v>1.6500000000000001E-2</v>
      </c>
      <c r="C197" s="10">
        <v>1.6799999999999999E-2</v>
      </c>
      <c r="D197" s="10">
        <v>1.6899999999999998E-2</v>
      </c>
      <c r="E197" s="10">
        <v>1.7299999999999999E-2</v>
      </c>
      <c r="F197" s="10">
        <v>1.8200000000000001E-2</v>
      </c>
      <c r="G197" s="10">
        <v>1.9099999999999999E-2</v>
      </c>
      <c r="H197" s="10">
        <v>1.9699999999999999E-2</v>
      </c>
      <c r="I197" s="10">
        <v>2.0299999999999999E-2</v>
      </c>
    </row>
    <row r="198" spans="1:9" ht="14.4" x14ac:dyDescent="0.3">
      <c r="A198" s="6" t="s">
        <v>24</v>
      </c>
      <c r="B198" s="11">
        <v>4.8300000000000003E-2</v>
      </c>
      <c r="C198" s="11">
        <v>5.04E-2</v>
      </c>
      <c r="D198" s="11">
        <v>5.57E-2</v>
      </c>
      <c r="E198" s="11">
        <v>5.6399999999999999E-2</v>
      </c>
      <c r="F198" s="11">
        <v>4.9200000000000001E-2</v>
      </c>
      <c r="G198" s="11">
        <v>8.4599999999999995E-2</v>
      </c>
      <c r="H198" s="11">
        <v>9.5500000000000002E-2</v>
      </c>
      <c r="I198" s="11">
        <v>9.9099999999999994E-2</v>
      </c>
    </row>
    <row r="199" spans="1:9" ht="14.4" x14ac:dyDescent="0.3">
      <c r="A199" s="6" t="s">
        <v>25</v>
      </c>
      <c r="B199" s="10">
        <v>7.4800000000000005E-2</v>
      </c>
      <c r="C199" s="10">
        <v>7.7700000000000005E-2</v>
      </c>
      <c r="D199" s="10">
        <v>7.3300000000000004E-2</v>
      </c>
      <c r="E199" s="10">
        <v>7.1800000000000003E-2</v>
      </c>
      <c r="F199" s="10">
        <v>7.7700000000000005E-2</v>
      </c>
      <c r="G199" s="10">
        <v>0.1182</v>
      </c>
      <c r="H199" s="10">
        <v>8.9200000000000002E-2</v>
      </c>
      <c r="I199" s="10">
        <v>9.0499999999999997E-2</v>
      </c>
    </row>
    <row r="200" spans="1:9" ht="14.4" x14ac:dyDescent="0.3">
      <c r="A200" s="6" t="s">
        <v>26</v>
      </c>
      <c r="B200" s="9" t="s">
        <v>54</v>
      </c>
      <c r="C200" s="9" t="s">
        <v>54</v>
      </c>
      <c r="D200" s="11">
        <v>7.2900000000000006E-2</v>
      </c>
      <c r="E200" s="13">
        <v>6.9000000000000006E-2</v>
      </c>
      <c r="F200" s="11">
        <v>7.46E-2</v>
      </c>
      <c r="G200" s="11">
        <v>7.9699999999999993E-2</v>
      </c>
      <c r="H200" s="11">
        <v>9.1899999999999996E-2</v>
      </c>
      <c r="I200" s="11">
        <v>9.3299999999999994E-2</v>
      </c>
    </row>
    <row r="201" spans="1:9" ht="14.4" x14ac:dyDescent="0.3">
      <c r="A201" s="6" t="s">
        <v>27</v>
      </c>
      <c r="B201" s="10">
        <v>2.23E-2</v>
      </c>
      <c r="C201" s="10">
        <v>2.6100000000000002E-2</v>
      </c>
      <c r="D201" s="10">
        <v>2.7300000000000001E-2</v>
      </c>
      <c r="E201" s="10">
        <v>2.64E-2</v>
      </c>
      <c r="F201" s="10">
        <v>3.1800000000000002E-2</v>
      </c>
      <c r="G201" s="10">
        <v>4.4900000000000002E-2</v>
      </c>
      <c r="H201" s="10">
        <v>4.9599999999999998E-2</v>
      </c>
      <c r="I201" s="10">
        <v>5.5399999999999998E-2</v>
      </c>
    </row>
    <row r="202" spans="1:9" ht="14.4" x14ac:dyDescent="0.3">
      <c r="A202" s="6" t="s">
        <v>28</v>
      </c>
      <c r="B202" s="11">
        <v>4.8099999999999997E-2</v>
      </c>
      <c r="C202" s="11">
        <v>4.5400000000000003E-2</v>
      </c>
      <c r="D202" s="11">
        <v>4.5499999999999999E-2</v>
      </c>
      <c r="E202" s="11">
        <v>4.8500000000000001E-2</v>
      </c>
      <c r="F202" s="11">
        <v>5.0799999999999998E-2</v>
      </c>
      <c r="G202" s="11">
        <v>3.9699999999999999E-2</v>
      </c>
      <c r="H202" s="11">
        <v>3.8699999999999998E-2</v>
      </c>
      <c r="I202" s="11">
        <v>2.5399999999999999E-2</v>
      </c>
    </row>
    <row r="203" spans="1:9" ht="14.4" x14ac:dyDescent="0.3">
      <c r="A203" s="6" t="s">
        <v>29</v>
      </c>
      <c r="B203" s="12">
        <v>1.7999999999999999E-2</v>
      </c>
      <c r="C203" s="10">
        <v>2.4799999999999999E-2</v>
      </c>
      <c r="D203" s="10">
        <v>1.55E-2</v>
      </c>
      <c r="E203" s="10">
        <v>1.1900000000000001E-2</v>
      </c>
      <c r="F203" s="10">
        <v>1.35E-2</v>
      </c>
      <c r="G203" s="10">
        <v>1.7299999999999999E-2</v>
      </c>
      <c r="H203" s="10">
        <v>2.0899999999999998E-2</v>
      </c>
      <c r="I203" s="10">
        <v>2.53E-2</v>
      </c>
    </row>
    <row r="204" spans="1:9" ht="14.4" x14ac:dyDescent="0.3">
      <c r="A204" s="6" t="s">
        <v>30</v>
      </c>
      <c r="B204" s="11">
        <v>9.8900000000000002E-2</v>
      </c>
      <c r="C204" s="13">
        <v>9.9000000000000005E-2</v>
      </c>
      <c r="D204" s="11">
        <v>9.7299999999999998E-2</v>
      </c>
      <c r="E204" s="11">
        <v>0.10780000000000001</v>
      </c>
      <c r="F204" s="11">
        <v>5.4899999999999997E-2</v>
      </c>
      <c r="G204" s="11">
        <v>4.0099999999999997E-2</v>
      </c>
      <c r="H204" s="13">
        <v>2.5999999999999999E-2</v>
      </c>
      <c r="I204" s="11">
        <v>5.79E-2</v>
      </c>
    </row>
    <row r="205" spans="1:9" ht="14.4" x14ac:dyDescent="0.3">
      <c r="A205" s="6" t="s">
        <v>32</v>
      </c>
      <c r="B205" s="10">
        <v>3.3399999999999999E-2</v>
      </c>
      <c r="C205" s="10">
        <v>3.5799999999999998E-2</v>
      </c>
      <c r="D205" s="10">
        <v>3.61E-2</v>
      </c>
      <c r="E205" s="10">
        <v>3.9899999999999998E-2</v>
      </c>
      <c r="F205" s="10">
        <v>3.8399999999999997E-2</v>
      </c>
      <c r="G205" s="10">
        <v>4.1500000000000002E-2</v>
      </c>
      <c r="H205" s="10">
        <v>4.7500000000000001E-2</v>
      </c>
      <c r="I205" s="10">
        <v>5.3499999999999999E-2</v>
      </c>
    </row>
    <row r="206" spans="1:9" ht="14.4" x14ac:dyDescent="0.3">
      <c r="A206" s="6" t="s">
        <v>33</v>
      </c>
      <c r="B206" s="11">
        <v>2.29E-2</v>
      </c>
      <c r="C206" s="11">
        <v>2.46E-2</v>
      </c>
      <c r="D206" s="11">
        <v>2.4199999999999999E-2</v>
      </c>
      <c r="E206" s="11">
        <v>2.4299999999999999E-2</v>
      </c>
      <c r="F206" s="11">
        <v>2.3099999999999999E-2</v>
      </c>
      <c r="G206" s="11">
        <v>2.6200000000000001E-2</v>
      </c>
      <c r="H206" s="11">
        <v>2.76E-2</v>
      </c>
      <c r="I206" s="11">
        <v>2.8299999999999999E-2</v>
      </c>
    </row>
    <row r="207" spans="1:9" ht="14.4" x14ac:dyDescent="0.3">
      <c r="A207" s="6" t="s">
        <v>34</v>
      </c>
      <c r="B207" s="10">
        <v>2.8500000000000001E-2</v>
      </c>
      <c r="C207" s="10">
        <v>3.0800000000000001E-2</v>
      </c>
      <c r="D207" s="10">
        <v>4.6899999999999997E-2</v>
      </c>
      <c r="E207" s="10">
        <v>4.6300000000000001E-2</v>
      </c>
      <c r="F207" s="10">
        <v>4.5699999999999998E-2</v>
      </c>
      <c r="G207" s="10">
        <v>5.16E-2</v>
      </c>
      <c r="H207" s="10">
        <v>5.4100000000000002E-2</v>
      </c>
      <c r="I207" s="10">
        <v>5.4399999999999997E-2</v>
      </c>
    </row>
    <row r="208" spans="1:9" ht="14.4" x14ac:dyDescent="0.3">
      <c r="A208" s="6" t="s">
        <v>35</v>
      </c>
      <c r="B208" s="11">
        <v>3.6799999999999999E-2</v>
      </c>
      <c r="C208" s="11">
        <v>4.8500000000000001E-2</v>
      </c>
      <c r="D208" s="11">
        <v>5.0599999999999999E-2</v>
      </c>
      <c r="E208" s="13">
        <v>5.0999999999999997E-2</v>
      </c>
      <c r="F208" s="11">
        <v>5.8599999999999999E-2</v>
      </c>
      <c r="G208" s="11">
        <v>5.3900000000000003E-2</v>
      </c>
      <c r="H208" s="13">
        <v>9.8000000000000004E-2</v>
      </c>
      <c r="I208" s="11">
        <v>0.1024</v>
      </c>
    </row>
    <row r="209" spans="1:9" ht="14.4" x14ac:dyDescent="0.3">
      <c r="A209" s="6" t="s">
        <v>36</v>
      </c>
      <c r="B209" s="12">
        <v>3.3000000000000002E-2</v>
      </c>
      <c r="C209" s="10">
        <v>3.6299999999999999E-2</v>
      </c>
      <c r="D209" s="10">
        <v>3.7699999999999997E-2</v>
      </c>
      <c r="E209" s="10">
        <v>3.9199999999999999E-2</v>
      </c>
      <c r="F209" s="10">
        <v>4.1200000000000001E-2</v>
      </c>
      <c r="G209" s="10">
        <v>5.6599999999999998E-2</v>
      </c>
      <c r="H209" s="10">
        <v>7.9299999999999995E-2</v>
      </c>
      <c r="I209" s="10">
        <v>7.8100000000000003E-2</v>
      </c>
    </row>
    <row r="210" spans="1:9" ht="14.4" x14ac:dyDescent="0.3">
      <c r="A210" s="6" t="s">
        <v>37</v>
      </c>
      <c r="B210" s="11">
        <v>1.9699999999999999E-2</v>
      </c>
      <c r="C210" s="11">
        <v>1.95E-2</v>
      </c>
      <c r="D210" s="11">
        <v>2.2499999999999999E-2</v>
      </c>
      <c r="E210" s="11">
        <v>2.4899999999999999E-2</v>
      </c>
      <c r="F210" s="11">
        <v>2.76E-2</v>
      </c>
      <c r="G210" s="13">
        <v>4.2000000000000003E-2</v>
      </c>
      <c r="H210" s="11">
        <v>4.8800000000000003E-2</v>
      </c>
      <c r="I210" s="11">
        <v>4.3700000000000003E-2</v>
      </c>
    </row>
    <row r="211" spans="1:9" ht="14.4" x14ac:dyDescent="0.3">
      <c r="A211" s="6" t="s">
        <v>38</v>
      </c>
      <c r="B211" s="10">
        <v>2.01E-2</v>
      </c>
      <c r="C211" s="10">
        <v>2.24E-2</v>
      </c>
      <c r="D211" s="10">
        <v>2.5399999999999999E-2</v>
      </c>
      <c r="E211" s="10">
        <v>2.6499999999999999E-2</v>
      </c>
      <c r="F211" s="10">
        <v>2.5100000000000001E-2</v>
      </c>
      <c r="G211" s="10">
        <v>2.5399999999999999E-2</v>
      </c>
      <c r="H211" s="10">
        <v>2.5100000000000001E-2</v>
      </c>
      <c r="I211" s="12">
        <v>2.8000000000000001E-2</v>
      </c>
    </row>
    <row r="212" spans="1:9" ht="14.4" x14ac:dyDescent="0.3">
      <c r="A212" s="6" t="s">
        <v>39</v>
      </c>
      <c r="B212" s="11">
        <v>2.7400000000000001E-2</v>
      </c>
      <c r="C212" s="11">
        <v>2.4500000000000001E-2</v>
      </c>
      <c r="D212" s="11">
        <v>2.4199999999999999E-2</v>
      </c>
      <c r="E212" s="13">
        <v>2.1999999999999999E-2</v>
      </c>
      <c r="F212" s="11">
        <v>2.1299999999999999E-2</v>
      </c>
      <c r="G212" s="11">
        <v>1.84E-2</v>
      </c>
      <c r="H212" s="11">
        <v>1.7899999999999999E-2</v>
      </c>
      <c r="I212" s="11">
        <v>2.0400000000000001E-2</v>
      </c>
    </row>
    <row r="213" spans="1:9" ht="14.4" x14ac:dyDescent="0.3">
      <c r="A213" s="6" t="s">
        <v>40</v>
      </c>
      <c r="B213" s="10">
        <v>1.8499999999999999E-2</v>
      </c>
      <c r="C213" s="10">
        <v>1.7600000000000001E-2</v>
      </c>
      <c r="D213" s="10">
        <v>1.7299999999999999E-2</v>
      </c>
      <c r="E213" s="10">
        <v>1.7500000000000002E-2</v>
      </c>
      <c r="F213" s="10">
        <v>1.7899999999999999E-2</v>
      </c>
      <c r="G213" s="10">
        <v>1.84E-2</v>
      </c>
      <c r="H213" s="10">
        <v>1.6899999999999998E-2</v>
      </c>
      <c r="I213" s="10">
        <v>1.6799999999999999E-2</v>
      </c>
    </row>
    <row r="214" spans="1:9" ht="14.4" x14ac:dyDescent="0.3">
      <c r="A214" s="6" t="s">
        <v>41</v>
      </c>
      <c r="B214" s="13">
        <v>-1.6E-2</v>
      </c>
      <c r="C214" s="13">
        <v>-5.0000000000000001E-3</v>
      </c>
      <c r="D214" s="13">
        <v>1.7999999999999999E-2</v>
      </c>
      <c r="E214" s="11">
        <v>-3.9199999999999999E-2</v>
      </c>
      <c r="F214" s="11">
        <v>-4.2500000000000003E-2</v>
      </c>
      <c r="G214" s="11">
        <v>-0.1105</v>
      </c>
      <c r="H214" s="11">
        <v>-4.0599999999999997E-2</v>
      </c>
      <c r="I214" s="11">
        <v>-1.4800000000000001E-2</v>
      </c>
    </row>
    <row r="215" spans="1:9" ht="14.4" x14ac:dyDescent="0.3">
      <c r="A215" s="6" t="s">
        <v>42</v>
      </c>
      <c r="B215" s="10">
        <v>6.2199999999999998E-2</v>
      </c>
      <c r="C215" s="10">
        <v>6.0199999999999997E-2</v>
      </c>
      <c r="D215" s="10">
        <v>6.3500000000000001E-2</v>
      </c>
      <c r="E215" s="10">
        <v>6.7599999999999993E-2</v>
      </c>
      <c r="F215" s="10">
        <v>7.4399999999999994E-2</v>
      </c>
      <c r="G215" s="10">
        <v>6.1199999999999997E-2</v>
      </c>
      <c r="H215" s="10">
        <v>6.9500000000000006E-2</v>
      </c>
      <c r="I215" s="10">
        <v>6.3100000000000003E-2</v>
      </c>
    </row>
    <row r="216" spans="1:9" ht="14.4" x14ac:dyDescent="0.3">
      <c r="A216" s="6" t="s">
        <v>43</v>
      </c>
      <c r="B216" s="11">
        <v>3.5499999999999997E-2</v>
      </c>
      <c r="C216" s="11">
        <v>3.27E-2</v>
      </c>
      <c r="D216" s="11">
        <v>3.3799999999999997E-2</v>
      </c>
      <c r="E216" s="11">
        <v>3.7699999999999997E-2</v>
      </c>
      <c r="F216" s="11">
        <v>4.1799999999999997E-2</v>
      </c>
      <c r="G216" s="11">
        <v>1.54E-2</v>
      </c>
      <c r="H216" s="11">
        <v>5.0700000000000002E-2</v>
      </c>
      <c r="I216" s="11">
        <v>5.1299999999999998E-2</v>
      </c>
    </row>
    <row r="217" spans="1:9" ht="14.4" x14ac:dyDescent="0.3">
      <c r="A217" s="6" t="s">
        <v>44</v>
      </c>
      <c r="B217" s="10">
        <v>7.2499999999999995E-2</v>
      </c>
      <c r="C217" s="10">
        <v>7.6100000000000001E-2</v>
      </c>
      <c r="D217" s="12">
        <v>6.8000000000000005E-2</v>
      </c>
      <c r="E217" s="10">
        <v>6.4699999999999994E-2</v>
      </c>
      <c r="F217" s="10">
        <v>5.6599999999999998E-2</v>
      </c>
      <c r="G217" s="10">
        <v>5.8900000000000001E-2</v>
      </c>
      <c r="H217" s="10">
        <v>4.7899999999999998E-2</v>
      </c>
      <c r="I217" s="10">
        <v>5.2499999999999998E-2</v>
      </c>
    </row>
    <row r="218" spans="1:9" ht="14.4" x14ac:dyDescent="0.3">
      <c r="A218" s="6" t="s">
        <v>45</v>
      </c>
      <c r="B218" s="13">
        <v>0.02</v>
      </c>
      <c r="C218" s="11">
        <v>2.1100000000000001E-2</v>
      </c>
      <c r="D218" s="13">
        <v>2.1999999999999999E-2</v>
      </c>
      <c r="E218" s="11">
        <v>2.3300000000000001E-2</v>
      </c>
      <c r="F218" s="11">
        <v>2.5399999999999999E-2</v>
      </c>
      <c r="G218" s="11">
        <v>4.6699999999999998E-2</v>
      </c>
      <c r="H218" s="11">
        <v>2.5600000000000001E-2</v>
      </c>
      <c r="I218" s="11">
        <v>2.5700000000000001E-2</v>
      </c>
    </row>
    <row r="219" spans="1:9" ht="14.4" x14ac:dyDescent="0.3">
      <c r="A219" s="6" t="s">
        <v>46</v>
      </c>
      <c r="B219" s="10">
        <v>4.6600000000000003E-2</v>
      </c>
      <c r="C219" s="12">
        <v>5.8000000000000003E-2</v>
      </c>
      <c r="D219" s="10">
        <v>5.7200000000000001E-2</v>
      </c>
      <c r="E219" s="10">
        <v>4.9599999999999998E-2</v>
      </c>
      <c r="F219" s="10">
        <v>5.8500000000000003E-2</v>
      </c>
      <c r="G219" s="10">
        <v>3.9800000000000002E-2</v>
      </c>
      <c r="H219" s="10">
        <v>4.7500000000000001E-2</v>
      </c>
      <c r="I219" s="10">
        <v>5.8799999999999998E-2</v>
      </c>
    </row>
    <row r="220" spans="1:9" ht="14.4" x14ac:dyDescent="0.3">
      <c r="A220" s="6" t="s">
        <v>47</v>
      </c>
      <c r="B220" s="11">
        <v>3.9600000000000003E-2</v>
      </c>
      <c r="C220" s="11">
        <v>4.0300000000000002E-2</v>
      </c>
      <c r="D220" s="13">
        <v>4.2000000000000003E-2</v>
      </c>
      <c r="E220" s="11">
        <v>4.3799999999999999E-2</v>
      </c>
      <c r="F220" s="11">
        <v>4.2900000000000001E-2</v>
      </c>
      <c r="G220" s="11">
        <v>4.6699999999999998E-2</v>
      </c>
      <c r="H220" s="11">
        <v>5.2200000000000003E-2</v>
      </c>
      <c r="I220" s="11">
        <v>4.4699999999999997E-2</v>
      </c>
    </row>
    <row r="221" spans="1:9" ht="14.4" x14ac:dyDescent="0.3">
      <c r="A221" s="6" t="s">
        <v>48</v>
      </c>
      <c r="B221" s="10">
        <v>6.5500000000000003E-2</v>
      </c>
      <c r="C221" s="10">
        <v>6.9099999999999995E-2</v>
      </c>
      <c r="D221" s="10">
        <v>7.22E-2</v>
      </c>
      <c r="E221" s="10">
        <v>7.1599999999999997E-2</v>
      </c>
      <c r="F221" s="10">
        <v>7.1800000000000003E-2</v>
      </c>
      <c r="G221" s="10">
        <v>7.9100000000000004E-2</v>
      </c>
      <c r="H221" s="10">
        <v>7.6899999999999996E-2</v>
      </c>
      <c r="I221" s="10">
        <v>6.2799999999999995E-2</v>
      </c>
    </row>
    <row r="222" spans="1:9" ht="14.4" x14ac:dyDescent="0.3">
      <c r="A222" s="6" t="s">
        <v>49</v>
      </c>
      <c r="B222" s="11">
        <v>8.4900000000000003E-2</v>
      </c>
      <c r="C222" s="13">
        <v>9.1999999999999998E-2</v>
      </c>
      <c r="D222" s="11">
        <v>9.1200000000000003E-2</v>
      </c>
      <c r="E222" s="11">
        <v>7.17E-2</v>
      </c>
      <c r="F222" s="11">
        <v>8.7400000000000005E-2</v>
      </c>
      <c r="G222" s="13">
        <v>0.10199999999999999</v>
      </c>
      <c r="H222" s="11">
        <v>8.2400000000000001E-2</v>
      </c>
      <c r="I222" s="11">
        <v>8.9200000000000002E-2</v>
      </c>
    </row>
    <row r="223" spans="1:9" ht="14.4" x14ac:dyDescent="0.3">
      <c r="A223" s="6" t="s">
        <v>50</v>
      </c>
      <c r="B223" s="10">
        <v>7.4099999999999999E-2</v>
      </c>
      <c r="C223" s="10">
        <v>6.9099999999999995E-2</v>
      </c>
      <c r="D223" s="10">
        <v>6.6100000000000006E-2</v>
      </c>
      <c r="E223" s="10">
        <v>5.7200000000000001E-2</v>
      </c>
      <c r="F223" s="10">
        <v>6.3799999999999996E-2</v>
      </c>
      <c r="G223" s="10">
        <v>6.93E-2</v>
      </c>
      <c r="H223" s="10">
        <v>7.22E-2</v>
      </c>
      <c r="I223" s="10">
        <v>7.9799999999999996E-2</v>
      </c>
    </row>
    <row r="224" spans="1:9" ht="14.4" x14ac:dyDescent="0.3">
      <c r="A224" s="6" t="s">
        <v>51</v>
      </c>
      <c r="B224" s="11">
        <v>1.26E-2</v>
      </c>
      <c r="C224" s="11">
        <v>2.3199999999999998E-2</v>
      </c>
      <c r="D224" s="13">
        <v>2.4E-2</v>
      </c>
      <c r="E224" s="11">
        <v>2.7699999999999999E-2</v>
      </c>
      <c r="F224" s="13">
        <v>2.5999999999999999E-2</v>
      </c>
      <c r="G224" s="11">
        <v>2.76E-2</v>
      </c>
      <c r="H224" s="11">
        <v>3.9899999999999998E-2</v>
      </c>
      <c r="I224" s="11">
        <v>3.5900000000000001E-2</v>
      </c>
    </row>
    <row r="225" spans="1:9" ht="14.4" x14ac:dyDescent="0.3">
      <c r="A225" s="6" t="s">
        <v>52</v>
      </c>
      <c r="B225" s="12">
        <v>6.9000000000000006E-2</v>
      </c>
      <c r="C225" s="10">
        <v>7.6300000000000007E-2</v>
      </c>
      <c r="D225" s="12">
        <v>7.5999999999999998E-2</v>
      </c>
      <c r="E225" s="10">
        <v>6.5299999999999997E-2</v>
      </c>
      <c r="F225" s="10">
        <v>8.2199999999999995E-2</v>
      </c>
      <c r="G225" s="12">
        <v>0.10199999999999999</v>
      </c>
      <c r="H225" s="10">
        <v>8.6400000000000005E-2</v>
      </c>
      <c r="I225" s="10">
        <v>9.4200000000000006E-2</v>
      </c>
    </row>
    <row r="226" spans="1:9" ht="14.4" x14ac:dyDescent="0.3">
      <c r="A226" s="6" t="s">
        <v>53</v>
      </c>
      <c r="B226" s="11">
        <v>1.29E-2</v>
      </c>
      <c r="C226" s="11">
        <v>1.34E-2</v>
      </c>
      <c r="D226" s="11">
        <v>1.5299999999999999E-2</v>
      </c>
      <c r="E226" s="9" t="s">
        <v>54</v>
      </c>
      <c r="F226" s="9" t="s">
        <v>54</v>
      </c>
      <c r="G226" s="9" t="s">
        <v>54</v>
      </c>
      <c r="H226" s="9" t="s">
        <v>54</v>
      </c>
      <c r="I226" s="9" t="s">
        <v>54</v>
      </c>
    </row>
    <row r="227" spans="1:9" ht="14.4" x14ac:dyDescent="0.3">
      <c r="A227" s="6" t="s">
        <v>55</v>
      </c>
      <c r="B227" s="10">
        <v>3.0800000000000001E-2</v>
      </c>
      <c r="C227" s="10">
        <v>2.9600000000000001E-2</v>
      </c>
      <c r="D227" s="10">
        <v>2.87E-2</v>
      </c>
      <c r="E227" s="10">
        <v>3.0599999999999999E-2</v>
      </c>
      <c r="F227" s="10">
        <v>2.9100000000000001E-2</v>
      </c>
      <c r="G227" s="10">
        <v>2.9700000000000001E-2</v>
      </c>
      <c r="H227" s="10">
        <v>3.1600000000000003E-2</v>
      </c>
      <c r="I227" s="10">
        <v>3.8199999999999998E-2</v>
      </c>
    </row>
    <row r="228" spans="1:9" ht="14.4" x14ac:dyDescent="0.3">
      <c r="A228" s="6" t="s">
        <v>56</v>
      </c>
      <c r="B228" s="11">
        <v>2.6100000000000002E-2</v>
      </c>
      <c r="C228" s="11">
        <v>2.93E-2</v>
      </c>
      <c r="D228" s="11">
        <v>2.8899999999999999E-2</v>
      </c>
      <c r="E228" s="11">
        <v>2.7699999999999999E-2</v>
      </c>
      <c r="F228" s="11">
        <v>2.5100000000000001E-2</v>
      </c>
      <c r="G228" s="11">
        <v>2.5600000000000001E-2</v>
      </c>
      <c r="H228" s="11">
        <v>2.5399999999999999E-2</v>
      </c>
      <c r="I228" s="11">
        <v>2.5399999999999999E-2</v>
      </c>
    </row>
    <row r="229" spans="1:9" ht="14.4" x14ac:dyDescent="0.3">
      <c r="A229" s="6" t="s">
        <v>57</v>
      </c>
      <c r="B229" s="8" t="s">
        <v>54</v>
      </c>
      <c r="C229" s="10">
        <v>8.0000000000000004E-4</v>
      </c>
      <c r="D229" s="10">
        <v>2.0000000000000001E-4</v>
      </c>
      <c r="E229" s="12">
        <v>0</v>
      </c>
      <c r="F229" s="12">
        <v>0</v>
      </c>
      <c r="G229" s="10">
        <v>4.1999999999999997E-3</v>
      </c>
      <c r="H229" s="12">
        <v>0</v>
      </c>
      <c r="I229" s="12">
        <v>0</v>
      </c>
    </row>
    <row r="230" spans="1:9" ht="14.4" x14ac:dyDescent="0.3">
      <c r="A230" s="6" t="s">
        <v>58</v>
      </c>
      <c r="B230" s="11">
        <v>1.2699999999999999E-2</v>
      </c>
      <c r="C230" s="11">
        <v>1.2200000000000001E-2</v>
      </c>
      <c r="D230" s="11">
        <v>1.2200000000000001E-2</v>
      </c>
      <c r="E230" s="11">
        <v>1.2200000000000001E-2</v>
      </c>
      <c r="F230" s="11">
        <v>4.7000000000000002E-3</v>
      </c>
      <c r="G230" s="11">
        <v>4.7999999999999996E-3</v>
      </c>
      <c r="H230" s="11">
        <v>1.43E-2</v>
      </c>
      <c r="I230" s="11">
        <v>3.2599999999999997E-2</v>
      </c>
    </row>
    <row r="231" spans="1:9" ht="14.4" x14ac:dyDescent="0.3">
      <c r="A231" s="6" t="s">
        <v>59</v>
      </c>
      <c r="B231" s="8" t="s">
        <v>54</v>
      </c>
      <c r="C231" s="10">
        <v>8.8000000000000005E-3</v>
      </c>
      <c r="D231" s="10">
        <v>7.1000000000000004E-3</v>
      </c>
      <c r="E231" s="10">
        <v>6.6E-3</v>
      </c>
      <c r="F231" s="10">
        <v>5.4300000000000001E-2</v>
      </c>
      <c r="G231" s="10">
        <v>7.3800000000000004E-2</v>
      </c>
      <c r="H231" s="10">
        <v>1.0800000000000001E-2</v>
      </c>
      <c r="I231" s="10">
        <v>8.0999999999999996E-3</v>
      </c>
    </row>
    <row r="232" spans="1:9" ht="14.4" x14ac:dyDescent="0.3">
      <c r="A232" s="6" t="s">
        <v>61</v>
      </c>
      <c r="B232" s="11">
        <v>1.43E-2</v>
      </c>
      <c r="C232" s="11">
        <v>1.52E-2</v>
      </c>
      <c r="D232" s="11">
        <v>1.5599999999999999E-2</v>
      </c>
      <c r="E232" s="11">
        <v>1.5299999999999999E-2</v>
      </c>
      <c r="F232" s="11">
        <v>1.5599999999999999E-2</v>
      </c>
      <c r="G232" s="11">
        <v>1.6299999999999999E-2</v>
      </c>
      <c r="H232" s="11">
        <v>1.8100000000000002E-2</v>
      </c>
      <c r="I232" s="11">
        <v>1.9199999999999998E-2</v>
      </c>
    </row>
    <row r="233" spans="1:9" ht="14.4" x14ac:dyDescent="0.3">
      <c r="A233" s="6" t="s">
        <v>63</v>
      </c>
      <c r="B233" s="10">
        <v>4.02E-2</v>
      </c>
      <c r="C233" s="10">
        <v>4.07E-2</v>
      </c>
      <c r="D233" s="10">
        <v>4.0800000000000003E-2</v>
      </c>
      <c r="E233" s="10">
        <v>4.2900000000000001E-2</v>
      </c>
      <c r="F233" s="10">
        <v>4.6300000000000001E-2</v>
      </c>
      <c r="G233" s="10">
        <v>4.9099999999999998E-2</v>
      </c>
      <c r="H233" s="10">
        <v>5.28E-2</v>
      </c>
      <c r="I233" s="10">
        <v>5.1799999999999999E-2</v>
      </c>
    </row>
    <row r="234" spans="1:9" ht="14.4" x14ac:dyDescent="0.3">
      <c r="A234" s="6" t="s">
        <v>64</v>
      </c>
      <c r="B234" s="11">
        <v>1.46E-2</v>
      </c>
      <c r="C234" s="11">
        <v>1.1900000000000001E-2</v>
      </c>
      <c r="D234" s="11">
        <v>1.4500000000000001E-2</v>
      </c>
      <c r="E234" s="11">
        <v>1.2500000000000001E-2</v>
      </c>
      <c r="F234" s="11">
        <v>1.1599999999999999E-2</v>
      </c>
      <c r="G234" s="11">
        <v>6.7000000000000002E-3</v>
      </c>
      <c r="H234" s="11">
        <v>4.4000000000000003E-3</v>
      </c>
      <c r="I234" s="11">
        <v>4.5999999999999999E-3</v>
      </c>
    </row>
    <row r="235" spans="1:9" ht="14.4" x14ac:dyDescent="0.3">
      <c r="A235" s="6" t="s">
        <v>65</v>
      </c>
      <c r="B235" s="8" t="s">
        <v>54</v>
      </c>
      <c r="C235" s="8" t="s">
        <v>54</v>
      </c>
      <c r="D235" s="8" t="s">
        <v>54</v>
      </c>
      <c r="E235" s="12">
        <v>0</v>
      </c>
      <c r="F235" s="8" t="s">
        <v>54</v>
      </c>
      <c r="G235" s="8" t="s">
        <v>54</v>
      </c>
      <c r="H235" s="8" t="s">
        <v>54</v>
      </c>
      <c r="I235" s="8" t="s">
        <v>54</v>
      </c>
    </row>
    <row r="236" spans="1:9" ht="14.4" x14ac:dyDescent="0.3">
      <c r="A236" s="6" t="s">
        <v>66</v>
      </c>
      <c r="B236" s="13">
        <v>8.0000000000000002E-3</v>
      </c>
      <c r="C236" s="11">
        <v>6.3E-3</v>
      </c>
      <c r="D236" s="11">
        <v>5.7999999999999996E-3</v>
      </c>
      <c r="E236" s="13">
        <v>6.0000000000000001E-3</v>
      </c>
      <c r="F236" s="11">
        <v>5.8999999999999999E-3</v>
      </c>
      <c r="G236" s="11">
        <v>5.8999999999999999E-3</v>
      </c>
      <c r="H236" s="11">
        <v>6.6E-3</v>
      </c>
      <c r="I236" s="11">
        <v>8.6999999999999994E-3</v>
      </c>
    </row>
    <row r="237" spans="1:9" ht="14.4" x14ac:dyDescent="0.3"/>
    <row r="238" spans="1:9" ht="11.4" customHeight="1" x14ac:dyDescent="0.3">
      <c r="A238" s="1" t="s">
        <v>67</v>
      </c>
    </row>
    <row r="239" spans="1:9" ht="14.4" x14ac:dyDescent="0.3">
      <c r="A239" s="1" t="s">
        <v>54</v>
      </c>
      <c r="B239" s="2" t="s">
        <v>68</v>
      </c>
    </row>
    <row r="240" spans="1:9" ht="14.4" x14ac:dyDescent="0.3">
      <c r="A240" s="1" t="s">
        <v>69</v>
      </c>
    </row>
    <row r="241" spans="1:9" ht="14.4" x14ac:dyDescent="0.3">
      <c r="A241" s="1" t="s">
        <v>31</v>
      </c>
      <c r="B241" s="2" t="s">
        <v>70</v>
      </c>
    </row>
    <row r="242" spans="1:9" ht="14.4" x14ac:dyDescent="0.3">
      <c r="A242" s="1" t="s">
        <v>60</v>
      </c>
      <c r="B242" s="2" t="s">
        <v>71</v>
      </c>
    </row>
    <row r="243" spans="1:9" ht="14.4" x14ac:dyDescent="0.3"/>
    <row r="244" spans="1:9" ht="11.4" customHeight="1" x14ac:dyDescent="0.3">
      <c r="A244" s="2" t="s">
        <v>0</v>
      </c>
    </row>
    <row r="245" spans="1:9" ht="14.4" x14ac:dyDescent="0.3">
      <c r="A245" s="2" t="s">
        <v>1</v>
      </c>
      <c r="B245" s="1" t="s">
        <v>2</v>
      </c>
    </row>
    <row r="246" spans="1:9" ht="14.4" x14ac:dyDescent="0.3">
      <c r="A246" s="2" t="s">
        <v>3</v>
      </c>
      <c r="B246" s="2" t="s">
        <v>4</v>
      </c>
    </row>
    <row r="247" spans="1:9" ht="14.4" x14ac:dyDescent="0.3"/>
    <row r="248" spans="1:9" ht="14.4" x14ac:dyDescent="0.3">
      <c r="A248" s="1" t="s">
        <v>5</v>
      </c>
    </row>
    <row r="249" spans="1:9" ht="14.4" x14ac:dyDescent="0.3">
      <c r="A249" s="1" t="s">
        <v>6</v>
      </c>
    </row>
    <row r="250" spans="1:9" ht="14.4" x14ac:dyDescent="0.3">
      <c r="A250" s="1" t="s">
        <v>7</v>
      </c>
    </row>
    <row r="251" spans="1:9" ht="14.4" x14ac:dyDescent="0.3">
      <c r="A251" s="1" t="s">
        <v>8</v>
      </c>
    </row>
    <row r="252" spans="1:9" ht="14.4" x14ac:dyDescent="0.3"/>
    <row r="253" spans="1:9" ht="14.4" x14ac:dyDescent="0.3">
      <c r="A253" s="4" t="s">
        <v>9</v>
      </c>
      <c r="B253" s="3" t="s">
        <v>10</v>
      </c>
      <c r="C253" s="3" t="s">
        <v>12</v>
      </c>
      <c r="D253" s="3" t="s">
        <v>13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18</v>
      </c>
    </row>
    <row r="254" spans="1:9" ht="14.4" x14ac:dyDescent="0.3">
      <c r="A254" s="5" t="s">
        <v>19</v>
      </c>
      <c r="B254" s="7" t="s">
        <v>11</v>
      </c>
      <c r="C254" s="7" t="s">
        <v>11</v>
      </c>
      <c r="D254" s="7" t="s">
        <v>11</v>
      </c>
      <c r="E254" s="7" t="s">
        <v>11</v>
      </c>
      <c r="F254" s="7" t="s">
        <v>11</v>
      </c>
      <c r="G254" s="7" t="s">
        <v>11</v>
      </c>
      <c r="H254" s="7" t="s">
        <v>11</v>
      </c>
      <c r="I254" s="7" t="s">
        <v>11</v>
      </c>
    </row>
    <row r="255" spans="1:9" ht="14.4" x14ac:dyDescent="0.3">
      <c r="A255" s="6" t="s">
        <v>20</v>
      </c>
      <c r="B255" s="8" t="s">
        <v>54</v>
      </c>
      <c r="C255" s="8" t="s">
        <v>54</v>
      </c>
      <c r="D255" s="10">
        <v>4.0899999999999999E-2</v>
      </c>
      <c r="E255" s="10">
        <v>4.0500000000000001E-2</v>
      </c>
      <c r="F255" s="12">
        <v>3.5000000000000003E-2</v>
      </c>
      <c r="G255" s="12">
        <v>1.6E-2</v>
      </c>
      <c r="H255" s="12">
        <v>0.01</v>
      </c>
      <c r="I255" s="10">
        <v>1.3100000000000001E-2</v>
      </c>
    </row>
    <row r="256" spans="1:9" ht="14.4" x14ac:dyDescent="0.3">
      <c r="A256" s="6" t="s">
        <v>21</v>
      </c>
      <c r="B256" s="9" t="s">
        <v>54</v>
      </c>
      <c r="C256" s="9" t="s">
        <v>54</v>
      </c>
      <c r="D256" s="11">
        <v>4.9599999999999998E-2</v>
      </c>
      <c r="E256" s="11">
        <v>4.9200000000000001E-2</v>
      </c>
      <c r="F256" s="11">
        <v>4.1300000000000003E-2</v>
      </c>
      <c r="G256" s="13">
        <v>1.9E-2</v>
      </c>
      <c r="H256" s="11">
        <v>1.09E-2</v>
      </c>
      <c r="I256" s="11">
        <v>1.4500000000000001E-2</v>
      </c>
    </row>
    <row r="257" spans="1:9" ht="14.4" x14ac:dyDescent="0.3">
      <c r="A257" s="6" t="s">
        <v>22</v>
      </c>
      <c r="B257" s="10">
        <v>1.06E-2</v>
      </c>
      <c r="C257" s="10">
        <v>3.4799999999999998E-2</v>
      </c>
      <c r="D257" s="10">
        <v>3.9899999999999998E-2</v>
      </c>
      <c r="E257" s="10">
        <v>3.95E-2</v>
      </c>
      <c r="F257" s="10">
        <v>4.1500000000000002E-2</v>
      </c>
      <c r="G257" s="10">
        <v>2.4899999999999999E-2</v>
      </c>
      <c r="H257" s="10">
        <v>3.9300000000000002E-2</v>
      </c>
      <c r="I257" s="10">
        <v>3.6600000000000001E-2</v>
      </c>
    </row>
    <row r="258" spans="1:9" ht="14.4" x14ac:dyDescent="0.3">
      <c r="A258" s="6" t="s">
        <v>23</v>
      </c>
      <c r="B258" s="13">
        <v>0</v>
      </c>
      <c r="C258" s="13">
        <v>0</v>
      </c>
      <c r="D258" s="13">
        <v>0</v>
      </c>
      <c r="E258" s="13">
        <v>0</v>
      </c>
      <c r="F258" s="13">
        <v>0</v>
      </c>
      <c r="G258" s="9" t="s">
        <v>54</v>
      </c>
      <c r="H258" s="9" t="s">
        <v>54</v>
      </c>
      <c r="I258" s="13">
        <v>0</v>
      </c>
    </row>
    <row r="259" spans="1:9" ht="14.4" x14ac:dyDescent="0.3">
      <c r="A259" s="6" t="s">
        <v>24</v>
      </c>
      <c r="B259" s="10">
        <v>1.9300000000000001E-2</v>
      </c>
      <c r="C259" s="10">
        <v>1.9400000000000001E-2</v>
      </c>
      <c r="D259" s="10">
        <v>1.95E-2</v>
      </c>
      <c r="E259" s="10">
        <v>1.8800000000000001E-2</v>
      </c>
      <c r="F259" s="10">
        <v>1.9800000000000002E-2</v>
      </c>
      <c r="G259" s="10">
        <v>1.55E-2</v>
      </c>
      <c r="H259" s="8" t="s">
        <v>54</v>
      </c>
      <c r="I259" s="10">
        <v>1.9699999999999999E-2</v>
      </c>
    </row>
    <row r="260" spans="1:9" ht="14.4" x14ac:dyDescent="0.3">
      <c r="A260" s="6" t="s">
        <v>25</v>
      </c>
      <c r="B260" s="11">
        <v>2.69E-2</v>
      </c>
      <c r="C260" s="11">
        <v>2.4799999999999999E-2</v>
      </c>
      <c r="D260" s="11">
        <v>1.1599999999999999E-2</v>
      </c>
      <c r="E260" s="11">
        <v>1.35E-2</v>
      </c>
      <c r="F260" s="11">
        <v>6.6E-3</v>
      </c>
      <c r="G260" s="11">
        <v>6.3E-3</v>
      </c>
      <c r="H260" s="11">
        <v>6.3E-3</v>
      </c>
      <c r="I260" s="11">
        <v>6.3E-3</v>
      </c>
    </row>
    <row r="261" spans="1:9" ht="14.4" x14ac:dyDescent="0.3">
      <c r="A261" s="6" t="s">
        <v>26</v>
      </c>
      <c r="B261" s="8" t="s">
        <v>54</v>
      </c>
      <c r="C261" s="8" t="s">
        <v>54</v>
      </c>
      <c r="D261" s="10">
        <v>6.6900000000000001E-2</v>
      </c>
      <c r="E261" s="10">
        <v>6.9800000000000001E-2</v>
      </c>
      <c r="F261" s="10">
        <v>6.7500000000000004E-2</v>
      </c>
      <c r="G261" s="10">
        <v>2.12E-2</v>
      </c>
      <c r="H261" s="10">
        <v>3.5999999999999999E-3</v>
      </c>
      <c r="I261" s="10">
        <v>2.8E-3</v>
      </c>
    </row>
    <row r="262" spans="1:9" ht="14.4" x14ac:dyDescent="0.3">
      <c r="A262" s="6" t="s">
        <v>27</v>
      </c>
      <c r="B262" s="11">
        <v>1.04E-2</v>
      </c>
      <c r="C262" s="11">
        <v>8.8999999999999999E-3</v>
      </c>
      <c r="D262" s="11">
        <v>1.04E-2</v>
      </c>
      <c r="E262" s="11">
        <v>1.1299999999999999E-2</v>
      </c>
      <c r="F262" s="11">
        <v>1.1299999999999999E-2</v>
      </c>
      <c r="G262" s="11">
        <v>1.1299999999999999E-2</v>
      </c>
      <c r="H262" s="11">
        <v>1.1900000000000001E-2</v>
      </c>
      <c r="I262" s="11">
        <v>1.0500000000000001E-2</v>
      </c>
    </row>
    <row r="263" spans="1:9" ht="14.4" x14ac:dyDescent="0.3">
      <c r="A263" s="6" t="s">
        <v>28</v>
      </c>
      <c r="B263" s="10">
        <v>4.7199999999999999E-2</v>
      </c>
      <c r="C263" s="10">
        <v>4.48E-2</v>
      </c>
      <c r="D263" s="10">
        <v>2.3800000000000002E-2</v>
      </c>
      <c r="E263" s="10">
        <v>3.2399999999999998E-2</v>
      </c>
      <c r="F263" s="10">
        <v>5.33E-2</v>
      </c>
      <c r="G263" s="10">
        <v>2.8500000000000001E-2</v>
      </c>
      <c r="H263" s="10">
        <v>-4.9500000000000002E-2</v>
      </c>
      <c r="I263" s="10">
        <v>1.5E-3</v>
      </c>
    </row>
    <row r="264" spans="1:9" ht="14.4" x14ac:dyDescent="0.3">
      <c r="A264" s="6" t="s">
        <v>29</v>
      </c>
      <c r="B264" s="13">
        <v>2.8000000000000001E-2</v>
      </c>
      <c r="C264" s="11">
        <v>2.2700000000000001E-2</v>
      </c>
      <c r="D264" s="13">
        <v>1.7000000000000001E-2</v>
      </c>
      <c r="E264" s="13">
        <v>1.7000000000000001E-2</v>
      </c>
      <c r="F264" s="13">
        <v>1.7000000000000001E-2</v>
      </c>
      <c r="G264" s="13">
        <v>1.7000000000000001E-2</v>
      </c>
      <c r="H264" s="13">
        <v>1.7000000000000001E-2</v>
      </c>
      <c r="I264" s="13">
        <v>1.7000000000000001E-2</v>
      </c>
    </row>
    <row r="265" spans="1:9" ht="14.4" x14ac:dyDescent="0.3">
      <c r="A265" s="6" t="s">
        <v>30</v>
      </c>
      <c r="B265" s="8" t="s">
        <v>54</v>
      </c>
      <c r="C265" s="8" t="s">
        <v>54</v>
      </c>
      <c r="D265" s="10">
        <v>7.9899999999999999E-2</v>
      </c>
      <c r="E265" s="10">
        <v>6.93E-2</v>
      </c>
      <c r="F265" s="10">
        <v>5.5500000000000001E-2</v>
      </c>
      <c r="G265" s="10">
        <v>4.5199999999999997E-2</v>
      </c>
      <c r="H265" s="10">
        <v>1.21E-2</v>
      </c>
      <c r="I265" s="10">
        <v>6.7000000000000002E-3</v>
      </c>
    </row>
    <row r="266" spans="1:9" ht="14.4" x14ac:dyDescent="0.3">
      <c r="A266" s="6" t="s">
        <v>32</v>
      </c>
      <c r="B266" s="13">
        <v>0</v>
      </c>
      <c r="C266" s="13">
        <v>0</v>
      </c>
      <c r="D266" s="13">
        <v>0</v>
      </c>
      <c r="E266" s="13">
        <v>0</v>
      </c>
      <c r="F266" s="13">
        <v>0</v>
      </c>
      <c r="G266" s="9" t="s">
        <v>54</v>
      </c>
      <c r="H266" s="13">
        <v>0</v>
      </c>
      <c r="I266" s="13">
        <v>0</v>
      </c>
    </row>
    <row r="267" spans="1:9" ht="14.4" x14ac:dyDescent="0.3">
      <c r="A267" s="6" t="s">
        <v>33</v>
      </c>
      <c r="B267" s="10">
        <v>6.7999999999999996E-3</v>
      </c>
      <c r="C267" s="10">
        <v>1.41E-2</v>
      </c>
      <c r="D267" s="10">
        <v>1.4200000000000001E-2</v>
      </c>
      <c r="E267" s="10">
        <v>1.3899999999999999E-2</v>
      </c>
      <c r="F267" s="12">
        <v>1.4E-2</v>
      </c>
      <c r="G267" s="10">
        <v>1.3899999999999999E-2</v>
      </c>
      <c r="H267" s="10">
        <v>1.3899999999999999E-2</v>
      </c>
      <c r="I267" s="10">
        <v>1.37E-2</v>
      </c>
    </row>
    <row r="268" spans="1:9" ht="14.4" x14ac:dyDescent="0.3">
      <c r="A268" s="6" t="s">
        <v>34</v>
      </c>
      <c r="B268" s="9" t="s">
        <v>54</v>
      </c>
      <c r="C268" s="9" t="s">
        <v>54</v>
      </c>
      <c r="D268" s="11">
        <v>0.12640000000000001</v>
      </c>
      <c r="E268" s="13">
        <v>0.122</v>
      </c>
      <c r="F268" s="11">
        <v>9.0700000000000003E-2</v>
      </c>
      <c r="G268" s="13">
        <v>0</v>
      </c>
      <c r="H268" s="11">
        <v>5.74E-2</v>
      </c>
      <c r="I268" s="13">
        <v>8.4000000000000005E-2</v>
      </c>
    </row>
    <row r="269" spans="1:9" ht="14.4" x14ac:dyDescent="0.3">
      <c r="A269" s="6" t="s">
        <v>35</v>
      </c>
      <c r="B269" s="12">
        <v>0.01</v>
      </c>
      <c r="C269" s="10">
        <v>9.9000000000000008E-3</v>
      </c>
      <c r="D269" s="10">
        <v>9.9000000000000008E-3</v>
      </c>
      <c r="E269" s="10">
        <v>5.3E-3</v>
      </c>
      <c r="F269" s="12">
        <v>5.0000000000000001E-3</v>
      </c>
      <c r="G269" s="12">
        <v>5.0000000000000001E-3</v>
      </c>
      <c r="H269" s="12">
        <v>5.0000000000000001E-3</v>
      </c>
      <c r="I269" s="12">
        <v>5.0000000000000001E-3</v>
      </c>
    </row>
    <row r="270" spans="1:9" ht="14.4" x14ac:dyDescent="0.3">
      <c r="A270" s="6" t="s">
        <v>36</v>
      </c>
      <c r="B270" s="11">
        <v>2.6800000000000001E-2</v>
      </c>
      <c r="C270" s="11">
        <v>4.1599999999999998E-2</v>
      </c>
      <c r="D270" s="11">
        <v>3.73E-2</v>
      </c>
      <c r="E270" s="11">
        <v>4.1700000000000001E-2</v>
      </c>
      <c r="F270" s="11">
        <v>3.56E-2</v>
      </c>
      <c r="G270" s="11">
        <v>2.18E-2</v>
      </c>
      <c r="H270" s="13">
        <v>0</v>
      </c>
      <c r="I270" s="13">
        <v>0</v>
      </c>
    </row>
    <row r="271" spans="1:9" ht="14.4" x14ac:dyDescent="0.3">
      <c r="A271" s="6" t="s">
        <v>37</v>
      </c>
      <c r="B271" s="10">
        <v>1.06E-2</v>
      </c>
      <c r="C271" s="10">
        <v>1.1299999999999999E-2</v>
      </c>
      <c r="D271" s="10">
        <v>9.1000000000000004E-3</v>
      </c>
      <c r="E271" s="10">
        <v>9.4999999999999998E-3</v>
      </c>
      <c r="F271" s="10">
        <v>1.01E-2</v>
      </c>
      <c r="G271" s="10">
        <v>1.1000000000000001E-3</v>
      </c>
      <c r="H271" s="12">
        <v>-8.0000000000000002E-3</v>
      </c>
      <c r="I271" s="12">
        <v>0</v>
      </c>
    </row>
    <row r="272" spans="1:9" ht="14.4" x14ac:dyDescent="0.3">
      <c r="A272" s="6" t="s">
        <v>38</v>
      </c>
      <c r="B272" s="11">
        <v>3.1800000000000002E-2</v>
      </c>
      <c r="C272" s="11">
        <v>2.5399999999999999E-2</v>
      </c>
      <c r="D272" s="13">
        <v>3.3000000000000002E-2</v>
      </c>
      <c r="E272" s="11">
        <v>3.6299999999999999E-2</v>
      </c>
      <c r="F272" s="11">
        <v>3.6200000000000003E-2</v>
      </c>
      <c r="G272" s="11">
        <v>1.8499999999999999E-2</v>
      </c>
      <c r="H272" s="11">
        <v>-0.1069</v>
      </c>
      <c r="I272" s="11">
        <v>-0.11550000000000001</v>
      </c>
    </row>
    <row r="273" spans="1:9" ht="14.4" x14ac:dyDescent="0.3">
      <c r="A273" s="6" t="s">
        <v>39</v>
      </c>
      <c r="B273" s="12">
        <v>0</v>
      </c>
      <c r="C273" s="12">
        <v>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</row>
    <row r="274" spans="1:9" ht="14.4" x14ac:dyDescent="0.3">
      <c r="A274" s="6" t="s">
        <v>40</v>
      </c>
      <c r="B274" s="13">
        <v>0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</row>
    <row r="275" spans="1:9" ht="14.4" x14ac:dyDescent="0.3">
      <c r="A275" s="6" t="s">
        <v>41</v>
      </c>
      <c r="B275" s="12">
        <v>0</v>
      </c>
      <c r="C275" s="12">
        <v>0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</row>
    <row r="276" spans="1:9" ht="14.4" x14ac:dyDescent="0.3">
      <c r="A276" s="6" t="s">
        <v>42</v>
      </c>
      <c r="B276" s="13">
        <v>8.5000000000000006E-2</v>
      </c>
      <c r="C276" s="11">
        <v>7.1499999999999994E-2</v>
      </c>
      <c r="D276" s="11">
        <v>6.9699999999999998E-2</v>
      </c>
      <c r="E276" s="11">
        <v>7.7499999999999999E-2</v>
      </c>
      <c r="F276" s="11">
        <v>9.3200000000000005E-2</v>
      </c>
      <c r="G276" s="11">
        <v>3.0700000000000002E-2</v>
      </c>
      <c r="H276" s="11">
        <v>5.9999999999999995E-4</v>
      </c>
      <c r="I276" s="13">
        <v>0</v>
      </c>
    </row>
    <row r="277" spans="1:9" ht="14.4" x14ac:dyDescent="0.3">
      <c r="A277" s="6" t="s">
        <v>43</v>
      </c>
      <c r="B277" s="10">
        <v>4.8999999999999998E-3</v>
      </c>
      <c r="C277" s="10">
        <v>5.8999999999999999E-3</v>
      </c>
      <c r="D277" s="10">
        <v>6.6E-3</v>
      </c>
      <c r="E277" s="10">
        <v>6.6E-3</v>
      </c>
      <c r="F277" s="10">
        <v>7.1000000000000004E-3</v>
      </c>
      <c r="G277" s="10">
        <v>7.7000000000000002E-3</v>
      </c>
      <c r="H277" s="10">
        <v>6.1999999999999998E-3</v>
      </c>
      <c r="I277" s="10">
        <v>3.3999999999999998E-3</v>
      </c>
    </row>
    <row r="278" spans="1:9" ht="14.4" x14ac:dyDescent="0.3">
      <c r="A278" s="6" t="s">
        <v>44</v>
      </c>
      <c r="B278" s="11">
        <v>9.35E-2</v>
      </c>
      <c r="C278" s="11">
        <v>0.11840000000000001</v>
      </c>
      <c r="D278" s="11">
        <v>8.2500000000000004E-2</v>
      </c>
      <c r="E278" s="11">
        <v>0.1087</v>
      </c>
      <c r="F278" s="11">
        <v>0.1241</v>
      </c>
      <c r="G278" s="11">
        <v>-4.82E-2</v>
      </c>
      <c r="H278" s="11">
        <v>-5.5599999999999997E-2</v>
      </c>
      <c r="I278" s="11">
        <v>2.6700000000000002E-2</v>
      </c>
    </row>
    <row r="279" spans="1:9" ht="14.4" x14ac:dyDescent="0.3">
      <c r="A279" s="6" t="s">
        <v>45</v>
      </c>
      <c r="B279" s="10">
        <v>1.2500000000000001E-2</v>
      </c>
      <c r="C279" s="10">
        <v>1.2699999999999999E-2</v>
      </c>
      <c r="D279" s="10">
        <v>1.5299999999999999E-2</v>
      </c>
      <c r="E279" s="10">
        <v>1.6899999999999998E-2</v>
      </c>
      <c r="F279" s="10">
        <v>1.66E-2</v>
      </c>
      <c r="G279" s="10">
        <v>1.8599999999999998E-2</v>
      </c>
      <c r="H279" s="10">
        <v>1.49E-2</v>
      </c>
      <c r="I279" s="12">
        <v>1.7000000000000001E-2</v>
      </c>
    </row>
    <row r="280" spans="1:9" ht="14.4" x14ac:dyDescent="0.3">
      <c r="A280" s="6" t="s">
        <v>46</v>
      </c>
      <c r="B280" s="11">
        <v>5.62E-2</v>
      </c>
      <c r="C280" s="11">
        <v>8.0100000000000005E-2</v>
      </c>
      <c r="D280" s="11">
        <v>7.8700000000000006E-2</v>
      </c>
      <c r="E280" s="11">
        <v>5.8700000000000002E-2</v>
      </c>
      <c r="F280" s="11">
        <v>7.8399999999999997E-2</v>
      </c>
      <c r="G280" s="11">
        <v>5.04E-2</v>
      </c>
      <c r="H280" s="11">
        <v>4.3900000000000002E-2</v>
      </c>
      <c r="I280" s="11">
        <v>8.0000000000000004E-4</v>
      </c>
    </row>
    <row r="281" spans="1:9" ht="14.4" x14ac:dyDescent="0.3">
      <c r="A281" s="6" t="s">
        <v>47</v>
      </c>
      <c r="B281" s="10">
        <v>2.1600000000000001E-2</v>
      </c>
      <c r="C281" s="10">
        <v>2.1600000000000001E-2</v>
      </c>
      <c r="D281" s="10">
        <v>2.06E-2</v>
      </c>
      <c r="E281" s="10">
        <v>1.8200000000000001E-2</v>
      </c>
      <c r="F281" s="10">
        <v>1.8100000000000002E-2</v>
      </c>
      <c r="G281" s="10">
        <v>5.8999999999999999E-3</v>
      </c>
      <c r="H281" s="10">
        <v>8.3000000000000001E-3</v>
      </c>
      <c r="I281" s="10">
        <v>1.2699999999999999E-2</v>
      </c>
    </row>
    <row r="282" spans="1:9" ht="14.4" x14ac:dyDescent="0.3">
      <c r="A282" s="6" t="s">
        <v>48</v>
      </c>
      <c r="B282" s="13">
        <v>0</v>
      </c>
      <c r="C282" s="13">
        <v>0</v>
      </c>
      <c r="D282" s="13">
        <v>0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</row>
    <row r="283" spans="1:9" ht="14.4" x14ac:dyDescent="0.3">
      <c r="A283" s="6" t="s">
        <v>49</v>
      </c>
      <c r="B283" s="10">
        <v>3.7000000000000002E-3</v>
      </c>
      <c r="C283" s="10">
        <v>3.5000000000000001E-3</v>
      </c>
      <c r="D283" s="10">
        <v>3.3999999999999998E-3</v>
      </c>
      <c r="E283" s="10">
        <v>1.6999999999999999E-3</v>
      </c>
      <c r="F283" s="10">
        <v>5.0000000000000001E-4</v>
      </c>
      <c r="G283" s="10">
        <v>2.0000000000000001E-4</v>
      </c>
      <c r="H283" s="10">
        <v>2.0000000000000001E-4</v>
      </c>
      <c r="I283" s="10">
        <v>2.0000000000000001E-4</v>
      </c>
    </row>
    <row r="284" spans="1:9" ht="14.4" x14ac:dyDescent="0.3">
      <c r="A284" s="6" t="s">
        <v>50</v>
      </c>
      <c r="B284" s="13">
        <v>0</v>
      </c>
      <c r="C284" s="13">
        <v>0</v>
      </c>
      <c r="D284" s="13">
        <v>0</v>
      </c>
      <c r="E284" s="13">
        <v>0</v>
      </c>
      <c r="F284" s="13">
        <v>0</v>
      </c>
      <c r="G284" s="13">
        <v>0</v>
      </c>
      <c r="H284" s="13">
        <v>0</v>
      </c>
      <c r="I284" s="9" t="s">
        <v>54</v>
      </c>
    </row>
    <row r="285" spans="1:9" ht="14.4" x14ac:dyDescent="0.3">
      <c r="A285" s="6" t="s">
        <v>51</v>
      </c>
      <c r="B285" s="10">
        <v>1.3100000000000001E-2</v>
      </c>
      <c r="C285" s="10">
        <v>1.32E-2</v>
      </c>
      <c r="D285" s="10">
        <v>1.37E-2</v>
      </c>
      <c r="E285" s="10">
        <v>1.38E-2</v>
      </c>
      <c r="F285" s="12">
        <v>1.4E-2</v>
      </c>
      <c r="G285" s="10">
        <v>1.5299999999999999E-2</v>
      </c>
      <c r="H285" s="10">
        <v>1.5699999999999999E-2</v>
      </c>
      <c r="I285" s="10">
        <v>1.5900000000000001E-2</v>
      </c>
    </row>
    <row r="286" spans="1:9" ht="14.4" x14ac:dyDescent="0.3">
      <c r="A286" s="6" t="s">
        <v>52</v>
      </c>
      <c r="B286" s="13">
        <v>0</v>
      </c>
      <c r="C286" s="13">
        <v>0</v>
      </c>
      <c r="D286" s="13">
        <v>0</v>
      </c>
      <c r="E286" s="13">
        <v>0</v>
      </c>
      <c r="F286" s="13">
        <v>0</v>
      </c>
      <c r="G286" s="9" t="s">
        <v>54</v>
      </c>
      <c r="H286" s="9" t="s">
        <v>54</v>
      </c>
      <c r="I286" s="13">
        <v>0</v>
      </c>
    </row>
    <row r="287" spans="1:9" ht="14.4" x14ac:dyDescent="0.3">
      <c r="A287" s="6" t="s">
        <v>53</v>
      </c>
      <c r="B287" s="10">
        <v>2.4400000000000002E-2</v>
      </c>
      <c r="C287" s="10">
        <v>2.24E-2</v>
      </c>
      <c r="D287" s="10">
        <v>3.1099999999999999E-2</v>
      </c>
      <c r="E287" s="8" t="s">
        <v>54</v>
      </c>
      <c r="F287" s="8" t="s">
        <v>54</v>
      </c>
      <c r="G287" s="8" t="s">
        <v>54</v>
      </c>
      <c r="H287" s="8" t="s">
        <v>54</v>
      </c>
      <c r="I287" s="8" t="s">
        <v>54</v>
      </c>
    </row>
    <row r="288" spans="1:9" ht="14.4" x14ac:dyDescent="0.3">
      <c r="A288" s="6" t="s">
        <v>55</v>
      </c>
      <c r="B288" s="11">
        <v>1.4E-3</v>
      </c>
      <c r="C288" s="11">
        <v>1.6000000000000001E-3</v>
      </c>
      <c r="D288" s="11">
        <v>1.9E-3</v>
      </c>
      <c r="E288" s="11">
        <v>2.3999999999999998E-3</v>
      </c>
      <c r="F288" s="11">
        <v>2.7000000000000001E-3</v>
      </c>
      <c r="G288" s="11">
        <v>2.5000000000000001E-3</v>
      </c>
      <c r="H288" s="11">
        <v>5.0000000000000001E-4</v>
      </c>
      <c r="I288" s="11">
        <v>5.0000000000000001E-4</v>
      </c>
    </row>
    <row r="289" spans="1:9" ht="14.4" x14ac:dyDescent="0.3">
      <c r="A289" s="6" t="s">
        <v>56</v>
      </c>
      <c r="B289" s="10">
        <v>4.7000000000000002E-3</v>
      </c>
      <c r="C289" s="10">
        <v>4.7000000000000002E-3</v>
      </c>
      <c r="D289" s="10">
        <v>1.6999999999999999E-3</v>
      </c>
      <c r="E289" s="10">
        <v>1E-4</v>
      </c>
      <c r="F289" s="10">
        <v>1E-4</v>
      </c>
      <c r="G289" s="10">
        <v>1E-4</v>
      </c>
      <c r="H289" s="10">
        <v>1E-4</v>
      </c>
      <c r="I289" s="10">
        <v>1E-4</v>
      </c>
    </row>
    <row r="290" spans="1:9" ht="14.4" x14ac:dyDescent="0.3">
      <c r="A290" s="6" t="s">
        <v>57</v>
      </c>
      <c r="B290" s="9" t="s">
        <v>54</v>
      </c>
      <c r="C290" s="13">
        <v>0</v>
      </c>
      <c r="D290" s="13">
        <v>0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</row>
    <row r="291" spans="1:9" ht="14.4" x14ac:dyDescent="0.3">
      <c r="A291" s="6" t="s">
        <v>58</v>
      </c>
      <c r="B291" s="12">
        <v>0</v>
      </c>
      <c r="C291" s="12">
        <v>0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</row>
    <row r="292" spans="1:9" ht="14.4" x14ac:dyDescent="0.3">
      <c r="A292" s="6" t="s">
        <v>59</v>
      </c>
      <c r="B292" s="9" t="s">
        <v>54</v>
      </c>
      <c r="C292" s="13">
        <v>0</v>
      </c>
      <c r="D292" s="13">
        <v>0</v>
      </c>
      <c r="E292" s="13">
        <v>0</v>
      </c>
      <c r="F292" s="9" t="s">
        <v>54</v>
      </c>
      <c r="G292" s="9" t="s">
        <v>54</v>
      </c>
      <c r="H292" s="9" t="s">
        <v>54</v>
      </c>
      <c r="I292" s="13">
        <v>0</v>
      </c>
    </row>
    <row r="293" spans="1:9" ht="14.4" x14ac:dyDescent="0.3">
      <c r="A293" s="6" t="s">
        <v>61</v>
      </c>
      <c r="B293" s="12">
        <v>0</v>
      </c>
      <c r="C293" s="12">
        <v>0</v>
      </c>
      <c r="D293" s="12">
        <v>0</v>
      </c>
      <c r="E293" s="12">
        <v>0</v>
      </c>
      <c r="F293" s="8" t="s">
        <v>54</v>
      </c>
      <c r="G293" s="8" t="s">
        <v>54</v>
      </c>
      <c r="H293" s="8" t="s">
        <v>54</v>
      </c>
      <c r="I293" s="8" t="s">
        <v>54</v>
      </c>
    </row>
    <row r="294" spans="1:9" ht="14.4" x14ac:dyDescent="0.3">
      <c r="A294" s="6" t="s">
        <v>63</v>
      </c>
      <c r="B294" s="11">
        <v>8.0000000000000004E-4</v>
      </c>
      <c r="C294" s="11">
        <v>8.0000000000000004E-4</v>
      </c>
      <c r="D294" s="11">
        <v>8.0000000000000004E-4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</row>
    <row r="295" spans="1:9" ht="14.4" x14ac:dyDescent="0.3">
      <c r="A295" s="6" t="s">
        <v>64</v>
      </c>
      <c r="B295" s="12">
        <v>0</v>
      </c>
      <c r="C295" s="12">
        <v>0</v>
      </c>
      <c r="D295" s="12">
        <v>0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</row>
    <row r="296" spans="1:9" ht="14.4" x14ac:dyDescent="0.3">
      <c r="A296" s="6" t="s">
        <v>65</v>
      </c>
      <c r="B296" s="9" t="s">
        <v>54</v>
      </c>
      <c r="C296" s="9" t="s">
        <v>54</v>
      </c>
      <c r="D296" s="9" t="s">
        <v>54</v>
      </c>
      <c r="E296" s="13">
        <v>0</v>
      </c>
      <c r="F296" s="9" t="s">
        <v>54</v>
      </c>
      <c r="G296" s="9" t="s">
        <v>54</v>
      </c>
      <c r="H296" s="9" t="s">
        <v>54</v>
      </c>
      <c r="I296" s="9" t="s">
        <v>54</v>
      </c>
    </row>
    <row r="297" spans="1:9" ht="14.4" x14ac:dyDescent="0.3">
      <c r="A297" s="6" t="s">
        <v>66</v>
      </c>
      <c r="B297" s="10">
        <v>1.8E-3</v>
      </c>
      <c r="C297" s="10">
        <v>1.5E-3</v>
      </c>
      <c r="D297" s="10">
        <v>2.5000000000000001E-3</v>
      </c>
      <c r="E297" s="10">
        <v>3.5999999999999999E-3</v>
      </c>
      <c r="F297" s="10">
        <v>3.3E-3</v>
      </c>
      <c r="G297" s="10">
        <v>8.9999999999999998E-4</v>
      </c>
      <c r="H297" s="10">
        <v>2.3999999999999998E-3</v>
      </c>
      <c r="I297" s="10">
        <v>3.0999999999999999E-3</v>
      </c>
    </row>
    <row r="298" spans="1:9" ht="14.4" x14ac:dyDescent="0.3"/>
    <row r="299" spans="1:9" ht="11.4" customHeight="1" x14ac:dyDescent="0.3">
      <c r="A299" s="1" t="s">
        <v>67</v>
      </c>
    </row>
    <row r="300" spans="1:9" ht="14.4" x14ac:dyDescent="0.3">
      <c r="A300" s="1" t="s">
        <v>54</v>
      </c>
      <c r="B300" s="2" t="s">
        <v>68</v>
      </c>
    </row>
    <row r="301" spans="1:9" ht="14.4" x14ac:dyDescent="0.3">
      <c r="A301" s="1" t="s">
        <v>69</v>
      </c>
    </row>
    <row r="302" spans="1:9" ht="14.4" x14ac:dyDescent="0.3">
      <c r="A302" s="1" t="s">
        <v>31</v>
      </c>
      <c r="B302" s="2" t="s">
        <v>70</v>
      </c>
    </row>
    <row r="303" spans="1:9" ht="14.4" x14ac:dyDescent="0.3">
      <c r="A303" s="1" t="s">
        <v>60</v>
      </c>
      <c r="B303" s="2" t="s">
        <v>71</v>
      </c>
    </row>
    <row r="304" spans="1:9" ht="14.4" x14ac:dyDescent="0.3"/>
    <row r="305" spans="1:9" ht="11.4" customHeight="1" x14ac:dyDescent="0.3">
      <c r="A305" s="2" t="s">
        <v>0</v>
      </c>
    </row>
    <row r="306" spans="1:9" ht="14.4" x14ac:dyDescent="0.3">
      <c r="A306" s="2" t="s">
        <v>1</v>
      </c>
      <c r="B306" s="1" t="s">
        <v>2</v>
      </c>
    </row>
    <row r="307" spans="1:9" ht="14.4" x14ac:dyDescent="0.3">
      <c r="A307" s="2" t="s">
        <v>3</v>
      </c>
      <c r="B307" s="2" t="s">
        <v>4</v>
      </c>
    </row>
    <row r="308" spans="1:9" ht="14.4" x14ac:dyDescent="0.3"/>
    <row r="309" spans="1:9" ht="14.4" x14ac:dyDescent="0.3">
      <c r="A309" s="1" t="s">
        <v>5</v>
      </c>
    </row>
    <row r="310" spans="1:9" ht="14.4" x14ac:dyDescent="0.3">
      <c r="A310" s="1" t="s">
        <v>6</v>
      </c>
    </row>
    <row r="311" spans="1:9" ht="14.4" x14ac:dyDescent="0.3">
      <c r="A311" s="1" t="s">
        <v>7</v>
      </c>
    </row>
    <row r="312" spans="1:9" ht="14.4" x14ac:dyDescent="0.3">
      <c r="A312" s="1" t="s">
        <v>8</v>
      </c>
    </row>
    <row r="313" spans="1:9" ht="14.4" x14ac:dyDescent="0.3"/>
    <row r="314" spans="1:9" ht="14.4" x14ac:dyDescent="0.3">
      <c r="A314" s="4" t="s">
        <v>9</v>
      </c>
      <c r="B314" s="3" t="s">
        <v>10</v>
      </c>
      <c r="C314" s="3" t="s">
        <v>12</v>
      </c>
      <c r="D314" s="3" t="s">
        <v>13</v>
      </c>
      <c r="E314" s="3" t="s">
        <v>14</v>
      </c>
      <c r="F314" s="3" t="s">
        <v>15</v>
      </c>
      <c r="G314" s="3" t="s">
        <v>16</v>
      </c>
      <c r="H314" s="3" t="s">
        <v>17</v>
      </c>
      <c r="I314" s="3" t="s">
        <v>18</v>
      </c>
    </row>
    <row r="315" spans="1:9" ht="14.4" x14ac:dyDescent="0.3">
      <c r="A315" s="5" t="s">
        <v>19</v>
      </c>
      <c r="B315" s="7" t="s">
        <v>11</v>
      </c>
      <c r="C315" s="7" t="s">
        <v>11</v>
      </c>
      <c r="D315" s="7" t="s">
        <v>11</v>
      </c>
      <c r="E315" s="7" t="s">
        <v>11</v>
      </c>
      <c r="F315" s="7" t="s">
        <v>11</v>
      </c>
      <c r="G315" s="7" t="s">
        <v>11</v>
      </c>
      <c r="H315" s="7" t="s">
        <v>11</v>
      </c>
      <c r="I315" s="7" t="s">
        <v>11</v>
      </c>
    </row>
    <row r="316" spans="1:9" ht="14.4" x14ac:dyDescent="0.3">
      <c r="A316" s="6" t="s">
        <v>20</v>
      </c>
      <c r="B316" s="9" t="s">
        <v>54</v>
      </c>
      <c r="C316" s="9" t="s">
        <v>54</v>
      </c>
      <c r="D316" s="13">
        <v>0.01</v>
      </c>
      <c r="E316" s="11">
        <v>1.2500000000000001E-2</v>
      </c>
      <c r="F316" s="11">
        <v>1.37E-2</v>
      </c>
      <c r="G316" s="11">
        <v>1.29E-2</v>
      </c>
      <c r="H316" s="11">
        <v>1.18E-2</v>
      </c>
      <c r="I316" s="13">
        <v>1.2E-2</v>
      </c>
    </row>
    <row r="317" spans="1:9" ht="14.4" x14ac:dyDescent="0.3">
      <c r="A317" s="6" t="s">
        <v>21</v>
      </c>
      <c r="B317" s="8" t="s">
        <v>54</v>
      </c>
      <c r="C317" s="8" t="s">
        <v>54</v>
      </c>
      <c r="D317" s="10">
        <v>1.24E-2</v>
      </c>
      <c r="E317" s="10">
        <v>1.4500000000000001E-2</v>
      </c>
      <c r="F317" s="12">
        <v>1.4999999999999999E-2</v>
      </c>
      <c r="G317" s="10">
        <v>1.32E-2</v>
      </c>
      <c r="H317" s="10">
        <v>1.32E-2</v>
      </c>
      <c r="I317" s="10">
        <v>1.46E-2</v>
      </c>
    </row>
    <row r="318" spans="1:9" ht="14.4" x14ac:dyDescent="0.3">
      <c r="A318" s="6" t="s">
        <v>22</v>
      </c>
      <c r="B318" s="11">
        <v>8.9999999999999998E-4</v>
      </c>
      <c r="C318" s="11">
        <v>5.3E-3</v>
      </c>
      <c r="D318" s="11">
        <v>5.4000000000000003E-3</v>
      </c>
      <c r="E318" s="11">
        <v>5.1000000000000004E-3</v>
      </c>
      <c r="F318" s="11">
        <v>5.1999999999999998E-3</v>
      </c>
      <c r="G318" s="11">
        <v>5.1999999999999998E-3</v>
      </c>
      <c r="H318" s="11">
        <v>1.1999999999999999E-3</v>
      </c>
      <c r="I318" s="11">
        <v>1.2999999999999999E-3</v>
      </c>
    </row>
    <row r="319" spans="1:9" ht="14.4" x14ac:dyDescent="0.3">
      <c r="A319" s="6" t="s">
        <v>23</v>
      </c>
      <c r="B319" s="12">
        <v>0</v>
      </c>
      <c r="C319" s="12">
        <v>0</v>
      </c>
      <c r="D319" s="12">
        <v>0</v>
      </c>
      <c r="E319" s="12">
        <v>0</v>
      </c>
      <c r="F319" s="12">
        <v>0</v>
      </c>
      <c r="G319" s="8" t="s">
        <v>54</v>
      </c>
      <c r="H319" s="8" t="s">
        <v>54</v>
      </c>
      <c r="I319" s="12">
        <v>0</v>
      </c>
    </row>
    <row r="320" spans="1:9" ht="14.4" x14ac:dyDescent="0.3">
      <c r="A320" s="6" t="s">
        <v>24</v>
      </c>
      <c r="B320" s="13">
        <v>0</v>
      </c>
      <c r="C320" s="13">
        <v>0</v>
      </c>
      <c r="D320" s="13">
        <v>0</v>
      </c>
      <c r="E320" s="13">
        <v>0</v>
      </c>
      <c r="F320" s="13">
        <v>0</v>
      </c>
      <c r="G320" s="9" t="s">
        <v>54</v>
      </c>
      <c r="H320" s="9" t="s">
        <v>54</v>
      </c>
      <c r="I320" s="13">
        <v>0</v>
      </c>
    </row>
    <row r="321" spans="1:9" ht="14.4" x14ac:dyDescent="0.3">
      <c r="A321" s="6" t="s">
        <v>25</v>
      </c>
      <c r="B321" s="12">
        <v>0</v>
      </c>
      <c r="C321" s="12">
        <v>0</v>
      </c>
      <c r="D321" s="12">
        <v>0</v>
      </c>
      <c r="E321" s="12">
        <v>0</v>
      </c>
      <c r="F321" s="12">
        <v>0</v>
      </c>
      <c r="G321" s="8" t="s">
        <v>54</v>
      </c>
      <c r="H321" s="8" t="s">
        <v>54</v>
      </c>
      <c r="I321" s="12">
        <v>0</v>
      </c>
    </row>
    <row r="322" spans="1:9" ht="14.4" x14ac:dyDescent="0.3">
      <c r="A322" s="6" t="s">
        <v>26</v>
      </c>
      <c r="B322" s="9" t="s">
        <v>54</v>
      </c>
      <c r="C322" s="9" t="s">
        <v>54</v>
      </c>
      <c r="D322" s="11">
        <v>7.3000000000000001E-3</v>
      </c>
      <c r="E322" s="11">
        <v>7.7999999999999996E-3</v>
      </c>
      <c r="F322" s="11">
        <v>8.3999999999999995E-3</v>
      </c>
      <c r="G322" s="11">
        <v>8.6E-3</v>
      </c>
      <c r="H322" s="11">
        <v>1.01E-2</v>
      </c>
      <c r="I322" s="13">
        <v>1.2999999999999999E-2</v>
      </c>
    </row>
    <row r="323" spans="1:9" ht="14.4" x14ac:dyDescent="0.3">
      <c r="A323" s="6" t="s">
        <v>27</v>
      </c>
      <c r="B323" s="12">
        <v>0</v>
      </c>
      <c r="C323" s="12">
        <v>0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</row>
    <row r="324" spans="1:9" ht="14.4" x14ac:dyDescent="0.3">
      <c r="A324" s="6" t="s">
        <v>28</v>
      </c>
      <c r="B324" s="11">
        <v>1.8700000000000001E-2</v>
      </c>
      <c r="C324" s="11">
        <v>1.78E-2</v>
      </c>
      <c r="D324" s="11">
        <v>9.1999999999999998E-3</v>
      </c>
      <c r="E324" s="11">
        <v>6.3E-3</v>
      </c>
      <c r="F324" s="11">
        <v>3.8999999999999998E-3</v>
      </c>
      <c r="G324" s="11">
        <v>3.8999999999999998E-3</v>
      </c>
      <c r="H324" s="11">
        <v>-6.1000000000000004E-3</v>
      </c>
      <c r="I324" s="11">
        <v>1.2999999999999999E-3</v>
      </c>
    </row>
    <row r="325" spans="1:9" ht="14.4" x14ac:dyDescent="0.3">
      <c r="A325" s="6" t="s">
        <v>29</v>
      </c>
      <c r="B325" s="12">
        <v>0</v>
      </c>
      <c r="C325" s="12">
        <v>0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</row>
    <row r="326" spans="1:9" ht="14.4" x14ac:dyDescent="0.3">
      <c r="A326" s="6" t="s">
        <v>30</v>
      </c>
      <c r="B326" s="9" t="s">
        <v>54</v>
      </c>
      <c r="C326" s="9" t="s">
        <v>54</v>
      </c>
      <c r="D326" s="11">
        <v>5.4000000000000003E-3</v>
      </c>
      <c r="E326" s="11">
        <v>4.5999999999999999E-3</v>
      </c>
      <c r="F326" s="11">
        <v>1.1000000000000001E-3</v>
      </c>
      <c r="G326" s="11">
        <v>8.9999999999999998E-4</v>
      </c>
      <c r="H326" s="11">
        <v>5.9999999999999995E-4</v>
      </c>
      <c r="I326" s="11">
        <v>5.9999999999999995E-4</v>
      </c>
    </row>
    <row r="327" spans="1:9" ht="14.4" x14ac:dyDescent="0.3">
      <c r="A327" s="6" t="s">
        <v>32</v>
      </c>
      <c r="B327" s="10">
        <v>3.2500000000000001E-2</v>
      </c>
      <c r="C327" s="10">
        <v>2.5399999999999999E-2</v>
      </c>
      <c r="D327" s="10">
        <v>3.1699999999999999E-2</v>
      </c>
      <c r="E327" s="10">
        <v>3.9600000000000003E-2</v>
      </c>
      <c r="F327" s="10">
        <v>3.61E-2</v>
      </c>
      <c r="G327" s="10">
        <v>3.3399999999999999E-2</v>
      </c>
      <c r="H327" s="10">
        <v>3.27E-2</v>
      </c>
      <c r="I327" s="10">
        <v>3.44E-2</v>
      </c>
    </row>
    <row r="328" spans="1:9" ht="14.4" x14ac:dyDescent="0.3">
      <c r="A328" s="6" t="s">
        <v>33</v>
      </c>
      <c r="B328" s="13">
        <v>0</v>
      </c>
      <c r="C328" s="13">
        <v>0</v>
      </c>
      <c r="D328" s="13">
        <v>0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</row>
    <row r="329" spans="1:9" ht="14.4" x14ac:dyDescent="0.3">
      <c r="A329" s="6" t="s">
        <v>34</v>
      </c>
      <c r="B329" s="8" t="s">
        <v>54</v>
      </c>
      <c r="C329" s="8" t="s">
        <v>54</v>
      </c>
      <c r="D329" s="12">
        <v>0</v>
      </c>
      <c r="E329" s="12">
        <v>0</v>
      </c>
      <c r="F329" s="12">
        <v>0</v>
      </c>
      <c r="G329" s="10">
        <v>4.7000000000000002E-3</v>
      </c>
      <c r="H329" s="10">
        <v>5.7000000000000002E-3</v>
      </c>
      <c r="I329" s="10">
        <v>6.1999999999999998E-3</v>
      </c>
    </row>
    <row r="330" spans="1:9" ht="14.4" x14ac:dyDescent="0.3">
      <c r="A330" s="6" t="s">
        <v>35</v>
      </c>
      <c r="B330" s="11">
        <v>6.7000000000000002E-3</v>
      </c>
      <c r="C330" s="11">
        <v>6.7000000000000002E-3</v>
      </c>
      <c r="D330" s="11">
        <v>6.4000000000000003E-3</v>
      </c>
      <c r="E330" s="11">
        <v>1.01E-2</v>
      </c>
      <c r="F330" s="11">
        <v>1.3299999999999999E-2</v>
      </c>
      <c r="G330" s="11">
        <v>1.35E-2</v>
      </c>
      <c r="H330" s="11">
        <v>2.3300000000000001E-2</v>
      </c>
      <c r="I330" s="11">
        <v>3.2199999999999999E-2</v>
      </c>
    </row>
    <row r="331" spans="1:9" ht="14.4" x14ac:dyDescent="0.3">
      <c r="A331" s="6" t="s">
        <v>36</v>
      </c>
      <c r="B331" s="12">
        <v>0</v>
      </c>
      <c r="C331" s="12">
        <v>0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</row>
    <row r="332" spans="1:9" ht="14.4" x14ac:dyDescent="0.3">
      <c r="A332" s="6" t="s">
        <v>37</v>
      </c>
      <c r="B332" s="11">
        <v>3.3E-3</v>
      </c>
      <c r="C332" s="11">
        <v>2.2000000000000001E-3</v>
      </c>
      <c r="D332" s="13">
        <v>0</v>
      </c>
      <c r="E332" s="13">
        <v>0</v>
      </c>
      <c r="F332" s="13">
        <v>0</v>
      </c>
      <c r="G332" s="9" t="s">
        <v>54</v>
      </c>
      <c r="H332" s="9" t="s">
        <v>54</v>
      </c>
      <c r="I332" s="9" t="s">
        <v>54</v>
      </c>
    </row>
    <row r="333" spans="1:9" ht="14.4" x14ac:dyDescent="0.3">
      <c r="A333" s="6" t="s">
        <v>38</v>
      </c>
      <c r="B333" s="12">
        <v>0</v>
      </c>
      <c r="C333" s="12">
        <v>0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</row>
    <row r="334" spans="1:9" ht="14.4" x14ac:dyDescent="0.3">
      <c r="A334" s="6" t="s">
        <v>39</v>
      </c>
      <c r="B334" s="13">
        <v>0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</row>
    <row r="335" spans="1:9" ht="14.4" x14ac:dyDescent="0.3">
      <c r="A335" s="6" t="s">
        <v>40</v>
      </c>
      <c r="B335" s="12">
        <v>0</v>
      </c>
      <c r="C335" s="12">
        <v>0</v>
      </c>
      <c r="D335" s="12">
        <v>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</row>
    <row r="336" spans="1:9" ht="14.4" x14ac:dyDescent="0.3">
      <c r="A336" s="6" t="s">
        <v>41</v>
      </c>
      <c r="B336" s="13">
        <v>0</v>
      </c>
      <c r="C336" s="13">
        <v>0</v>
      </c>
      <c r="D336" s="13">
        <v>0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</row>
    <row r="337" spans="1:9" ht="14.4" x14ac:dyDescent="0.3">
      <c r="A337" s="6" t="s">
        <v>42</v>
      </c>
      <c r="B337" s="12">
        <v>0</v>
      </c>
      <c r="C337" s="12">
        <v>0</v>
      </c>
      <c r="D337" s="12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</row>
    <row r="338" spans="1:9" ht="14.4" x14ac:dyDescent="0.3">
      <c r="A338" s="6" t="s">
        <v>43</v>
      </c>
      <c r="B338" s="11">
        <v>1.11E-2</v>
      </c>
      <c r="C338" s="11">
        <v>8.6999999999999994E-3</v>
      </c>
      <c r="D338" s="11">
        <v>3.8999999999999998E-3</v>
      </c>
      <c r="E338" s="11">
        <v>5.3E-3</v>
      </c>
      <c r="F338" s="11">
        <v>1.5100000000000001E-2</v>
      </c>
      <c r="G338" s="11">
        <v>1.7100000000000001E-2</v>
      </c>
      <c r="H338" s="11">
        <v>2.1399999999999999E-2</v>
      </c>
      <c r="I338" s="11">
        <v>2.3800000000000002E-2</v>
      </c>
    </row>
    <row r="339" spans="1:9" ht="14.4" x14ac:dyDescent="0.3">
      <c r="A339" s="6" t="s">
        <v>44</v>
      </c>
      <c r="B339" s="10">
        <v>2.2100000000000002E-2</v>
      </c>
      <c r="C339" s="10">
        <v>2.5700000000000001E-2</v>
      </c>
      <c r="D339" s="10">
        <v>4.5999999999999999E-3</v>
      </c>
      <c r="E339" s="12">
        <v>-4.0000000000000001E-3</v>
      </c>
      <c r="F339" s="10">
        <v>-5.4000000000000003E-3</v>
      </c>
      <c r="G339" s="10">
        <v>1.29E-2</v>
      </c>
      <c r="H339" s="10">
        <v>-1.9199999999999998E-2</v>
      </c>
      <c r="I339" s="10">
        <v>1.1599999999999999E-2</v>
      </c>
    </row>
    <row r="340" spans="1:9" ht="14.4" x14ac:dyDescent="0.3">
      <c r="A340" s="6" t="s">
        <v>45</v>
      </c>
      <c r="B340" s="13">
        <v>0</v>
      </c>
      <c r="C340" s="13">
        <v>0</v>
      </c>
      <c r="D340" s="13">
        <v>0</v>
      </c>
      <c r="E340" s="13">
        <v>0</v>
      </c>
      <c r="F340" s="9" t="s">
        <v>54</v>
      </c>
      <c r="G340" s="9" t="s">
        <v>54</v>
      </c>
      <c r="H340" s="9" t="s">
        <v>54</v>
      </c>
      <c r="I340" s="13">
        <v>0</v>
      </c>
    </row>
    <row r="341" spans="1:9" ht="14.4" x14ac:dyDescent="0.3">
      <c r="A341" s="6" t="s">
        <v>46</v>
      </c>
      <c r="B341" s="10">
        <v>1E-4</v>
      </c>
      <c r="C341" s="10">
        <v>1E-4</v>
      </c>
      <c r="D341" s="10">
        <v>1E-4</v>
      </c>
      <c r="E341" s="10">
        <v>1E-4</v>
      </c>
      <c r="F341" s="10">
        <v>1E-4</v>
      </c>
      <c r="G341" s="10">
        <v>1E-4</v>
      </c>
      <c r="H341" s="10">
        <v>1E-4</v>
      </c>
      <c r="I341" s="10">
        <v>1E-4</v>
      </c>
    </row>
    <row r="342" spans="1:9" ht="14.4" x14ac:dyDescent="0.3">
      <c r="A342" s="6" t="s">
        <v>47</v>
      </c>
      <c r="B342" s="11">
        <v>1.17E-2</v>
      </c>
      <c r="C342" s="11">
        <v>1.18E-2</v>
      </c>
      <c r="D342" s="11">
        <v>1.14E-2</v>
      </c>
      <c r="E342" s="11">
        <v>1.17E-2</v>
      </c>
      <c r="F342" s="11">
        <v>1.1900000000000001E-2</v>
      </c>
      <c r="G342" s="11">
        <v>1.6299999999999999E-2</v>
      </c>
      <c r="H342" s="11">
        <v>2.7300000000000001E-2</v>
      </c>
      <c r="I342" s="11">
        <v>9.4999999999999998E-3</v>
      </c>
    </row>
    <row r="343" spans="1:9" ht="14.4" x14ac:dyDescent="0.3">
      <c r="A343" s="6" t="s">
        <v>48</v>
      </c>
      <c r="B343" s="10">
        <v>1E-4</v>
      </c>
      <c r="C343" s="10">
        <v>1E-4</v>
      </c>
      <c r="D343" s="10">
        <v>1E-4</v>
      </c>
      <c r="E343" s="10">
        <v>1E-4</v>
      </c>
      <c r="F343" s="10">
        <v>1E-4</v>
      </c>
      <c r="G343" s="10">
        <v>1E-4</v>
      </c>
      <c r="H343" s="10">
        <v>1E-4</v>
      </c>
      <c r="I343" s="10">
        <v>1E-4</v>
      </c>
    </row>
    <row r="344" spans="1:9" ht="14.4" x14ac:dyDescent="0.3">
      <c r="A344" s="6" t="s">
        <v>49</v>
      </c>
      <c r="B344" s="13">
        <v>0</v>
      </c>
      <c r="C344" s="13">
        <v>0</v>
      </c>
      <c r="D344" s="13">
        <v>0</v>
      </c>
      <c r="E344" s="9" t="s">
        <v>54</v>
      </c>
      <c r="F344" s="9" t="s">
        <v>54</v>
      </c>
      <c r="G344" s="9" t="s">
        <v>54</v>
      </c>
      <c r="H344" s="13">
        <v>0</v>
      </c>
      <c r="I344" s="13">
        <v>0</v>
      </c>
    </row>
    <row r="345" spans="1:9" ht="14.4" x14ac:dyDescent="0.3">
      <c r="A345" s="6" t="s">
        <v>50</v>
      </c>
      <c r="B345" s="12">
        <v>0</v>
      </c>
      <c r="C345" s="12">
        <v>0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8" t="s">
        <v>54</v>
      </c>
    </row>
    <row r="346" spans="1:9" ht="14.4" x14ac:dyDescent="0.3">
      <c r="A346" s="6" t="s">
        <v>51</v>
      </c>
      <c r="B346" s="13">
        <v>0</v>
      </c>
      <c r="C346" s="13">
        <v>0</v>
      </c>
      <c r="D346" s="13">
        <v>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</row>
    <row r="347" spans="1:9" ht="14.4" x14ac:dyDescent="0.3">
      <c r="A347" s="6" t="s">
        <v>52</v>
      </c>
      <c r="B347" s="12">
        <v>0</v>
      </c>
      <c r="C347" s="12">
        <v>0</v>
      </c>
      <c r="D347" s="12">
        <v>0</v>
      </c>
      <c r="E347" s="12">
        <v>0</v>
      </c>
      <c r="F347" s="12">
        <v>0</v>
      </c>
      <c r="G347" s="8" t="s">
        <v>54</v>
      </c>
      <c r="H347" s="8" t="s">
        <v>54</v>
      </c>
      <c r="I347" s="12">
        <v>0</v>
      </c>
    </row>
    <row r="348" spans="1:9" ht="14.4" x14ac:dyDescent="0.3">
      <c r="A348" s="6" t="s">
        <v>53</v>
      </c>
      <c r="B348" s="11">
        <v>8.9999999999999998E-4</v>
      </c>
      <c r="C348" s="11">
        <v>1.9E-3</v>
      </c>
      <c r="D348" s="11">
        <v>5.4000000000000003E-3</v>
      </c>
      <c r="E348" s="9" t="s">
        <v>54</v>
      </c>
      <c r="F348" s="9" t="s">
        <v>54</v>
      </c>
      <c r="G348" s="9" t="s">
        <v>54</v>
      </c>
      <c r="H348" s="9" t="s">
        <v>54</v>
      </c>
      <c r="I348" s="9" t="s">
        <v>54</v>
      </c>
    </row>
    <row r="349" spans="1:9" ht="14.4" x14ac:dyDescent="0.3">
      <c r="A349" s="6" t="s">
        <v>55</v>
      </c>
      <c r="B349" s="12">
        <v>0</v>
      </c>
      <c r="C349" s="12">
        <v>0</v>
      </c>
      <c r="D349" s="12">
        <v>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</row>
    <row r="350" spans="1:9" ht="14.4" x14ac:dyDescent="0.3">
      <c r="A350" s="6" t="s">
        <v>56</v>
      </c>
      <c r="B350" s="11">
        <v>1E-4</v>
      </c>
      <c r="C350" s="11">
        <v>1E-4</v>
      </c>
      <c r="D350" s="11">
        <v>2.0000000000000001E-4</v>
      </c>
      <c r="E350" s="11">
        <v>2.9999999999999997E-4</v>
      </c>
      <c r="F350" s="11">
        <v>2.9999999999999997E-4</v>
      </c>
      <c r="G350" s="11">
        <v>2.9999999999999997E-4</v>
      </c>
      <c r="H350" s="9" t="s">
        <v>54</v>
      </c>
      <c r="I350" s="9" t="s">
        <v>54</v>
      </c>
    </row>
    <row r="351" spans="1:9" ht="14.4" x14ac:dyDescent="0.3">
      <c r="A351" s="6" t="s">
        <v>57</v>
      </c>
      <c r="B351" s="8" t="s">
        <v>54</v>
      </c>
      <c r="C351" s="12">
        <v>0</v>
      </c>
      <c r="D351" s="12">
        <v>0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</row>
    <row r="352" spans="1:9" ht="14.4" x14ac:dyDescent="0.3">
      <c r="A352" s="6" t="s">
        <v>58</v>
      </c>
      <c r="B352" s="13">
        <v>0</v>
      </c>
      <c r="C352" s="13">
        <v>0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</row>
    <row r="353" spans="1:9" ht="14.4" x14ac:dyDescent="0.3">
      <c r="A353" s="6" t="s">
        <v>59</v>
      </c>
      <c r="B353" s="8" t="s">
        <v>54</v>
      </c>
      <c r="C353" s="12">
        <v>0</v>
      </c>
      <c r="D353" s="12">
        <v>0</v>
      </c>
      <c r="E353" s="12">
        <v>0</v>
      </c>
      <c r="F353" s="8" t="s">
        <v>54</v>
      </c>
      <c r="G353" s="8" t="s">
        <v>54</v>
      </c>
      <c r="H353" s="8" t="s">
        <v>54</v>
      </c>
      <c r="I353" s="12">
        <v>0</v>
      </c>
    </row>
    <row r="354" spans="1:9" ht="14.4" x14ac:dyDescent="0.3">
      <c r="A354" s="6" t="s">
        <v>61</v>
      </c>
      <c r="B354" s="13">
        <v>0</v>
      </c>
      <c r="C354" s="13">
        <v>0</v>
      </c>
      <c r="D354" s="13">
        <v>0</v>
      </c>
      <c r="E354" s="13">
        <v>0</v>
      </c>
      <c r="F354" s="9" t="s">
        <v>54</v>
      </c>
      <c r="G354" s="9" t="s">
        <v>54</v>
      </c>
      <c r="H354" s="9" t="s">
        <v>54</v>
      </c>
      <c r="I354" s="9" t="s">
        <v>54</v>
      </c>
    </row>
    <row r="355" spans="1:9" ht="14.4" x14ac:dyDescent="0.3">
      <c r="A355" s="6" t="s">
        <v>63</v>
      </c>
      <c r="B355" s="12">
        <v>0</v>
      </c>
      <c r="C355" s="12">
        <v>0</v>
      </c>
      <c r="D355" s="12">
        <v>0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</row>
    <row r="356" spans="1:9" ht="14.4" x14ac:dyDescent="0.3">
      <c r="A356" s="6" t="s">
        <v>64</v>
      </c>
      <c r="B356" s="13">
        <v>0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</row>
    <row r="357" spans="1:9" ht="14.4" x14ac:dyDescent="0.3">
      <c r="A357" s="6" t="s">
        <v>65</v>
      </c>
      <c r="B357" s="8" t="s">
        <v>54</v>
      </c>
      <c r="C357" s="8" t="s">
        <v>54</v>
      </c>
      <c r="D357" s="8" t="s">
        <v>54</v>
      </c>
      <c r="E357" s="12">
        <v>0</v>
      </c>
      <c r="F357" s="8" t="s">
        <v>54</v>
      </c>
      <c r="G357" s="8" t="s">
        <v>54</v>
      </c>
      <c r="H357" s="8" t="s">
        <v>54</v>
      </c>
      <c r="I357" s="8" t="s">
        <v>54</v>
      </c>
    </row>
    <row r="358" spans="1:9" ht="14.4" x14ac:dyDescent="0.3">
      <c r="A358" s="6" t="s">
        <v>66</v>
      </c>
      <c r="B358" s="13">
        <v>0</v>
      </c>
      <c r="C358" s="13">
        <v>0</v>
      </c>
      <c r="D358" s="13">
        <v>0</v>
      </c>
      <c r="E358" s="9" t="s">
        <v>54</v>
      </c>
      <c r="F358" s="9" t="s">
        <v>54</v>
      </c>
      <c r="G358" s="9" t="s">
        <v>54</v>
      </c>
      <c r="H358" s="9" t="s">
        <v>54</v>
      </c>
      <c r="I358" s="9" t="s">
        <v>54</v>
      </c>
    </row>
    <row r="359" spans="1:9" ht="14.4" x14ac:dyDescent="0.3"/>
    <row r="360" spans="1:9" ht="11.4" customHeight="1" x14ac:dyDescent="0.3">
      <c r="A360" s="1" t="s">
        <v>67</v>
      </c>
    </row>
    <row r="361" spans="1:9" ht="14.4" x14ac:dyDescent="0.3">
      <c r="A361" s="1" t="s">
        <v>54</v>
      </c>
      <c r="B361" s="2" t="s">
        <v>68</v>
      </c>
    </row>
    <row r="362" spans="1:9" ht="14.4" x14ac:dyDescent="0.3">
      <c r="A362" s="1" t="s">
        <v>69</v>
      </c>
    </row>
    <row r="363" spans="1:9" ht="14.4" x14ac:dyDescent="0.3">
      <c r="A363" s="1" t="s">
        <v>31</v>
      </c>
      <c r="B363" s="2" t="s">
        <v>70</v>
      </c>
    </row>
    <row r="364" spans="1:9" ht="14.4" x14ac:dyDescent="0.3">
      <c r="A364" s="1" t="s">
        <v>60</v>
      </c>
      <c r="B364" s="2" t="s">
        <v>71</v>
      </c>
    </row>
    <row r="365" spans="1:9" ht="14.4" x14ac:dyDescent="0.3"/>
    <row r="366" spans="1:9" ht="11.4" customHeight="1" x14ac:dyDescent="0.3">
      <c r="A366" s="2" t="s">
        <v>0</v>
      </c>
    </row>
    <row r="367" spans="1:9" ht="14.4" x14ac:dyDescent="0.3">
      <c r="A367" s="2" t="s">
        <v>1</v>
      </c>
      <c r="B367" s="1" t="s">
        <v>2</v>
      </c>
    </row>
    <row r="368" spans="1:9" ht="14.4" x14ac:dyDescent="0.3">
      <c r="A368" s="2" t="s">
        <v>3</v>
      </c>
      <c r="B368" s="2" t="s">
        <v>4</v>
      </c>
    </row>
    <row r="369" spans="1:9" ht="14.4" x14ac:dyDescent="0.3"/>
    <row r="370" spans="1:9" ht="14.4" x14ac:dyDescent="0.3">
      <c r="A370" s="1" t="s">
        <v>5</v>
      </c>
    </row>
    <row r="371" spans="1:9" ht="14.4" x14ac:dyDescent="0.3">
      <c r="A371" s="1" t="s">
        <v>6</v>
      </c>
    </row>
    <row r="372" spans="1:9" ht="14.4" x14ac:dyDescent="0.3">
      <c r="A372" s="1" t="s">
        <v>7</v>
      </c>
    </row>
    <row r="373" spans="1:9" ht="14.4" x14ac:dyDescent="0.3">
      <c r="A373" s="1" t="s">
        <v>8</v>
      </c>
    </row>
    <row r="374" spans="1:9" ht="14.4" x14ac:dyDescent="0.3"/>
    <row r="375" spans="1:9" ht="14.4" x14ac:dyDescent="0.3">
      <c r="A375" s="4" t="s">
        <v>9</v>
      </c>
      <c r="B375" s="3" t="s">
        <v>10</v>
      </c>
      <c r="C375" s="3" t="s">
        <v>12</v>
      </c>
      <c r="D375" s="3" t="s">
        <v>13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18</v>
      </c>
    </row>
    <row r="376" spans="1:9" ht="14.4" x14ac:dyDescent="0.3">
      <c r="A376" s="5" t="s">
        <v>19</v>
      </c>
      <c r="B376" s="7" t="s">
        <v>11</v>
      </c>
      <c r="C376" s="7" t="s">
        <v>11</v>
      </c>
      <c r="D376" s="7" t="s">
        <v>11</v>
      </c>
      <c r="E376" s="7" t="s">
        <v>11</v>
      </c>
      <c r="F376" s="7" t="s">
        <v>11</v>
      </c>
      <c r="G376" s="7" t="s">
        <v>11</v>
      </c>
      <c r="H376" s="7" t="s">
        <v>11</v>
      </c>
      <c r="I376" s="7" t="s">
        <v>11</v>
      </c>
    </row>
    <row r="377" spans="1:9" ht="14.4" x14ac:dyDescent="0.3">
      <c r="A377" s="6" t="s">
        <v>20</v>
      </c>
      <c r="B377" s="8" t="s">
        <v>54</v>
      </c>
      <c r="C377" s="8" t="s">
        <v>54</v>
      </c>
      <c r="D377" s="10">
        <v>9.5999999999999992E-3</v>
      </c>
      <c r="E377" s="12">
        <v>1E-3</v>
      </c>
      <c r="F377" s="10">
        <v>-3.5999999999999999E-3</v>
      </c>
      <c r="G377" s="10">
        <v>-2.0299999999999999E-2</v>
      </c>
      <c r="H377" s="10">
        <v>-1.37E-2</v>
      </c>
      <c r="I377" s="10">
        <v>-1.14E-2</v>
      </c>
    </row>
    <row r="378" spans="1:9" ht="14.4" x14ac:dyDescent="0.3">
      <c r="A378" s="6" t="s">
        <v>21</v>
      </c>
      <c r="B378" s="9" t="s">
        <v>54</v>
      </c>
      <c r="C378" s="9" t="s">
        <v>54</v>
      </c>
      <c r="D378" s="11">
        <v>6.4999999999999997E-3</v>
      </c>
      <c r="E378" s="11">
        <v>-4.8999999999999998E-3</v>
      </c>
      <c r="F378" s="11">
        <v>-7.7000000000000002E-3</v>
      </c>
      <c r="G378" s="11">
        <v>-3.2300000000000002E-2</v>
      </c>
      <c r="H378" s="11">
        <v>-2.01E-2</v>
      </c>
      <c r="I378" s="11">
        <v>-1.8599999999999998E-2</v>
      </c>
    </row>
    <row r="379" spans="1:9" ht="14.4" x14ac:dyDescent="0.3">
      <c r="A379" s="6" t="s">
        <v>22</v>
      </c>
      <c r="B379" s="12">
        <v>0</v>
      </c>
      <c r="C379" s="10">
        <v>1.9E-3</v>
      </c>
      <c r="D379" s="10">
        <v>2.0999999999999999E-3</v>
      </c>
      <c r="E379" s="12">
        <v>2E-3</v>
      </c>
      <c r="F379" s="10">
        <v>1.9E-3</v>
      </c>
      <c r="G379" s="10">
        <v>1.6299999999999999E-2</v>
      </c>
      <c r="H379" s="10">
        <v>3.9699999999999999E-2</v>
      </c>
      <c r="I379" s="10">
        <v>4.9399999999999999E-2</v>
      </c>
    </row>
    <row r="380" spans="1:9" ht="14.4" x14ac:dyDescent="0.3">
      <c r="A380" s="6" t="s">
        <v>23</v>
      </c>
      <c r="B380" s="13">
        <v>0</v>
      </c>
      <c r="C380" s="13">
        <v>0</v>
      </c>
      <c r="D380" s="13">
        <v>0</v>
      </c>
      <c r="E380" s="13">
        <v>0</v>
      </c>
      <c r="F380" s="13">
        <v>0</v>
      </c>
      <c r="G380" s="9" t="s">
        <v>54</v>
      </c>
      <c r="H380" s="9" t="s">
        <v>54</v>
      </c>
      <c r="I380" s="13">
        <v>0</v>
      </c>
    </row>
    <row r="381" spans="1:9" ht="14.4" x14ac:dyDescent="0.3">
      <c r="A381" s="6" t="s">
        <v>24</v>
      </c>
      <c r="B381" s="10">
        <v>1.1999999999999999E-3</v>
      </c>
      <c r="C381" s="10">
        <v>1.1999999999999999E-3</v>
      </c>
      <c r="D381" s="10">
        <v>1.1999999999999999E-3</v>
      </c>
      <c r="E381" s="10">
        <v>1.1000000000000001E-3</v>
      </c>
      <c r="F381" s="10">
        <v>1.1000000000000001E-3</v>
      </c>
      <c r="G381" s="10">
        <v>1.1999999999999999E-3</v>
      </c>
      <c r="H381" s="10">
        <v>1.1999999999999999E-3</v>
      </c>
      <c r="I381" s="10">
        <v>1.1000000000000001E-3</v>
      </c>
    </row>
    <row r="382" spans="1:9" ht="14.4" x14ac:dyDescent="0.3">
      <c r="A382" s="6" t="s">
        <v>25</v>
      </c>
      <c r="B382" s="11">
        <v>0.12230000000000001</v>
      </c>
      <c r="C382" s="11">
        <v>0.1225</v>
      </c>
      <c r="D382" s="11">
        <v>0.11840000000000001</v>
      </c>
      <c r="E382" s="11">
        <v>0.1198</v>
      </c>
      <c r="F382" s="13">
        <v>0.121</v>
      </c>
      <c r="G382" s="11">
        <v>0.1106</v>
      </c>
      <c r="H382" s="11">
        <v>4.7300000000000002E-2</v>
      </c>
      <c r="I382" s="13">
        <v>0.10199999999999999</v>
      </c>
    </row>
    <row r="383" spans="1:9" ht="14.4" x14ac:dyDescent="0.3">
      <c r="A383" s="6" t="s">
        <v>26</v>
      </c>
      <c r="B383" s="8" t="s">
        <v>54</v>
      </c>
      <c r="C383" s="8" t="s">
        <v>54</v>
      </c>
      <c r="D383" s="10">
        <v>2.0500000000000001E-2</v>
      </c>
      <c r="E383" s="10">
        <v>2.0500000000000001E-2</v>
      </c>
      <c r="F383" s="10">
        <v>2.0500000000000001E-2</v>
      </c>
      <c r="G383" s="10">
        <v>2.0500000000000001E-2</v>
      </c>
      <c r="H383" s="10">
        <v>2.0500000000000001E-2</v>
      </c>
      <c r="I383" s="10">
        <v>2.0500000000000001E-2</v>
      </c>
    </row>
    <row r="384" spans="1:9" ht="14.4" x14ac:dyDescent="0.3">
      <c r="A384" s="6" t="s">
        <v>27</v>
      </c>
      <c r="B384" s="11">
        <v>4.4999999999999997E-3</v>
      </c>
      <c r="C384" s="11">
        <v>4.4999999999999997E-3</v>
      </c>
      <c r="D384" s="11">
        <v>4.4999999999999997E-3</v>
      </c>
      <c r="E384" s="11">
        <v>2.2000000000000001E-3</v>
      </c>
      <c r="F384" s="13">
        <v>1E-3</v>
      </c>
      <c r="G384" s="13">
        <v>1E-3</v>
      </c>
      <c r="H384" s="13">
        <v>1E-3</v>
      </c>
      <c r="I384" s="11">
        <v>1.2999999999999999E-3</v>
      </c>
    </row>
    <row r="385" spans="1:9" ht="14.4" x14ac:dyDescent="0.3">
      <c r="A385" s="6" t="s">
        <v>28</v>
      </c>
      <c r="B385" s="12">
        <v>0</v>
      </c>
      <c r="C385" s="12">
        <v>0</v>
      </c>
      <c r="D385" s="12">
        <v>0</v>
      </c>
      <c r="E385" s="10">
        <v>1.1000000000000001E-3</v>
      </c>
      <c r="F385" s="12">
        <v>0</v>
      </c>
      <c r="G385" s="8" t="s">
        <v>54</v>
      </c>
      <c r="H385" s="8" t="s">
        <v>54</v>
      </c>
      <c r="I385" s="12">
        <v>0</v>
      </c>
    </row>
    <row r="386" spans="1:9" ht="14.4" x14ac:dyDescent="0.3">
      <c r="A386" s="6" t="s">
        <v>29</v>
      </c>
      <c r="B386" s="13">
        <v>0</v>
      </c>
      <c r="C386" s="13">
        <v>0</v>
      </c>
      <c r="D386" s="11">
        <v>2.2000000000000001E-3</v>
      </c>
      <c r="E386" s="11">
        <v>2.0999999999999999E-3</v>
      </c>
      <c r="F386" s="11">
        <v>2.2000000000000001E-3</v>
      </c>
      <c r="G386" s="11">
        <v>2.2000000000000001E-3</v>
      </c>
      <c r="H386" s="11">
        <v>2.2000000000000001E-3</v>
      </c>
      <c r="I386" s="11">
        <v>2.2000000000000001E-3</v>
      </c>
    </row>
    <row r="387" spans="1:9" ht="14.4" x14ac:dyDescent="0.3">
      <c r="A387" s="6" t="s">
        <v>30</v>
      </c>
      <c r="B387" s="8" t="s">
        <v>54</v>
      </c>
      <c r="C387" s="8" t="s">
        <v>54</v>
      </c>
      <c r="D387" s="10">
        <v>2.2499999999999999E-2</v>
      </c>
      <c r="E387" s="12">
        <v>2.5000000000000001E-2</v>
      </c>
      <c r="F387" s="10">
        <v>2.3900000000000001E-2</v>
      </c>
      <c r="G387" s="10">
        <v>1.12E-2</v>
      </c>
      <c r="H387" s="10">
        <v>1.9E-3</v>
      </c>
      <c r="I387" s="10">
        <v>1.54E-2</v>
      </c>
    </row>
    <row r="388" spans="1:9" ht="14.4" x14ac:dyDescent="0.3">
      <c r="A388" s="6" t="s">
        <v>32</v>
      </c>
      <c r="B388" s="11">
        <v>3.1699999999999999E-2</v>
      </c>
      <c r="C388" s="11">
        <v>3.1800000000000002E-2</v>
      </c>
      <c r="D388" s="11">
        <v>3.1899999999999998E-2</v>
      </c>
      <c r="E388" s="11">
        <v>3.2099999999999997E-2</v>
      </c>
      <c r="F388" s="13">
        <v>3.2000000000000001E-2</v>
      </c>
      <c r="G388" s="11">
        <v>1.2200000000000001E-2</v>
      </c>
      <c r="H388" s="11">
        <v>1.1999999999999999E-3</v>
      </c>
      <c r="I388" s="11">
        <v>1.8200000000000001E-2</v>
      </c>
    </row>
    <row r="389" spans="1:9" ht="14.4" x14ac:dyDescent="0.3">
      <c r="A389" s="6" t="s">
        <v>33</v>
      </c>
      <c r="B389" s="12">
        <v>0</v>
      </c>
      <c r="C389" s="12">
        <v>0</v>
      </c>
      <c r="D389" s="12">
        <v>0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</row>
    <row r="390" spans="1:9" ht="14.4" x14ac:dyDescent="0.3">
      <c r="A390" s="6" t="s">
        <v>34</v>
      </c>
      <c r="B390" s="9" t="s">
        <v>54</v>
      </c>
      <c r="C390" s="9" t="s">
        <v>54</v>
      </c>
      <c r="D390" s="11">
        <v>9.7999999999999997E-3</v>
      </c>
      <c r="E390" s="11">
        <v>9.5999999999999992E-3</v>
      </c>
      <c r="F390" s="13">
        <v>0.01</v>
      </c>
      <c r="G390" s="11">
        <v>1.0200000000000001E-2</v>
      </c>
      <c r="H390" s="13">
        <v>0.01</v>
      </c>
      <c r="I390" s="11">
        <v>1.0200000000000001E-2</v>
      </c>
    </row>
    <row r="391" spans="1:9" ht="14.4" x14ac:dyDescent="0.3">
      <c r="A391" s="6" t="s">
        <v>35</v>
      </c>
      <c r="B391" s="10">
        <v>2.7000000000000001E-3</v>
      </c>
      <c r="C391" s="10">
        <v>7.7999999999999996E-3</v>
      </c>
      <c r="D391" s="10">
        <v>1.5100000000000001E-2</v>
      </c>
      <c r="E391" s="12">
        <v>1.4999999999999999E-2</v>
      </c>
      <c r="F391" s="10">
        <v>3.4700000000000002E-2</v>
      </c>
      <c r="G391" s="10">
        <v>6.0400000000000002E-2</v>
      </c>
      <c r="H391" s="10">
        <v>7.0499999999999993E-2</v>
      </c>
      <c r="I391" s="10">
        <v>5.1200000000000002E-2</v>
      </c>
    </row>
    <row r="392" spans="1:9" ht="14.4" x14ac:dyDescent="0.3">
      <c r="A392" s="6" t="s">
        <v>36</v>
      </c>
      <c r="B392" s="13">
        <v>0</v>
      </c>
      <c r="C392" s="13">
        <v>0</v>
      </c>
      <c r="D392" s="13">
        <v>0</v>
      </c>
      <c r="E392" s="13">
        <v>0</v>
      </c>
      <c r="F392" s="13">
        <v>0</v>
      </c>
      <c r="G392" s="13">
        <v>0</v>
      </c>
      <c r="H392" s="13">
        <v>0</v>
      </c>
      <c r="I392" s="13">
        <v>0</v>
      </c>
    </row>
    <row r="393" spans="1:9" ht="14.4" x14ac:dyDescent="0.3">
      <c r="A393" s="6" t="s">
        <v>37</v>
      </c>
      <c r="B393" s="12">
        <v>0</v>
      </c>
      <c r="C393" s="12">
        <v>0</v>
      </c>
      <c r="D393" s="12">
        <v>0</v>
      </c>
      <c r="E393" s="12">
        <v>0</v>
      </c>
      <c r="F393" s="12">
        <v>0</v>
      </c>
      <c r="G393" s="8" t="s">
        <v>54</v>
      </c>
      <c r="H393" s="8" t="s">
        <v>54</v>
      </c>
      <c r="I393" s="8" t="s">
        <v>54</v>
      </c>
    </row>
    <row r="394" spans="1:9" ht="14.4" x14ac:dyDescent="0.3">
      <c r="A394" s="6" t="s">
        <v>38</v>
      </c>
      <c r="B394" s="13">
        <v>1E-3</v>
      </c>
      <c r="C394" s="13">
        <v>1E-3</v>
      </c>
      <c r="D394" s="13">
        <v>1E-3</v>
      </c>
      <c r="E394" s="13">
        <v>1E-3</v>
      </c>
      <c r="F394" s="13">
        <v>0</v>
      </c>
      <c r="G394" s="13">
        <v>0</v>
      </c>
      <c r="H394" s="13">
        <v>0</v>
      </c>
      <c r="I394" s="13">
        <v>0</v>
      </c>
    </row>
    <row r="395" spans="1:9" ht="14.4" x14ac:dyDescent="0.3">
      <c r="A395" s="6" t="s">
        <v>39</v>
      </c>
      <c r="B395" s="12">
        <v>0</v>
      </c>
      <c r="C395" s="12">
        <v>0</v>
      </c>
      <c r="D395" s="12">
        <v>0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</row>
    <row r="396" spans="1:9" ht="14.4" x14ac:dyDescent="0.3">
      <c r="A396" s="6" t="s">
        <v>40</v>
      </c>
      <c r="B396" s="11">
        <v>1.5E-3</v>
      </c>
      <c r="C396" s="11">
        <v>1.5E-3</v>
      </c>
      <c r="D396" s="11">
        <v>1.5E-3</v>
      </c>
      <c r="E396" s="11">
        <v>1.5E-3</v>
      </c>
      <c r="F396" s="11">
        <v>1.5E-3</v>
      </c>
      <c r="G396" s="11">
        <v>1.5E-3</v>
      </c>
      <c r="H396" s="11">
        <v>1.5E-3</v>
      </c>
      <c r="I396" s="11">
        <v>1.5E-3</v>
      </c>
    </row>
    <row r="397" spans="1:9" ht="14.4" x14ac:dyDescent="0.3">
      <c r="A397" s="6" t="s">
        <v>41</v>
      </c>
      <c r="B397" s="12">
        <v>-0.44700000000000001</v>
      </c>
      <c r="C397" s="12">
        <v>-0.434</v>
      </c>
      <c r="D397" s="12">
        <v>-0.317</v>
      </c>
      <c r="E397" s="10">
        <v>-0.60660000000000003</v>
      </c>
      <c r="F397" s="10">
        <v>-0.64139999999999997</v>
      </c>
      <c r="G397" s="10">
        <v>-1.0624</v>
      </c>
      <c r="H397" s="10">
        <v>-0.66779999999999995</v>
      </c>
      <c r="I397" s="10">
        <v>-0.82479999999999998</v>
      </c>
    </row>
    <row r="398" spans="1:9" ht="14.4" x14ac:dyDescent="0.3">
      <c r="A398" s="6" t="s">
        <v>42</v>
      </c>
      <c r="B398" s="13">
        <v>1.4999999999999999E-2</v>
      </c>
      <c r="C398" s="13">
        <v>1.4999999999999999E-2</v>
      </c>
      <c r="D398" s="13">
        <v>1.4999999999999999E-2</v>
      </c>
      <c r="E398" s="13">
        <v>1.4999999999999999E-2</v>
      </c>
      <c r="F398" s="13">
        <v>1.4999999999999999E-2</v>
      </c>
      <c r="G398" s="11">
        <v>1.0699999999999999E-2</v>
      </c>
      <c r="H398" s="11">
        <v>1.4E-3</v>
      </c>
      <c r="I398" s="11">
        <v>1.1000000000000001E-3</v>
      </c>
    </row>
    <row r="399" spans="1:9" ht="14.4" x14ac:dyDescent="0.3">
      <c r="A399" s="6" t="s">
        <v>43</v>
      </c>
      <c r="B399" s="12">
        <v>0.01</v>
      </c>
      <c r="C399" s="10">
        <v>1.2200000000000001E-2</v>
      </c>
      <c r="D399" s="10">
        <v>1.11E-2</v>
      </c>
      <c r="E399" s="10">
        <v>2.0500000000000001E-2</v>
      </c>
      <c r="F399" s="10">
        <v>2.7799999999999998E-2</v>
      </c>
      <c r="G399" s="10">
        <v>4.2599999999999999E-2</v>
      </c>
      <c r="H399" s="10">
        <v>4.82E-2</v>
      </c>
      <c r="I399" s="12">
        <v>4.3999999999999997E-2</v>
      </c>
    </row>
    <row r="400" spans="1:9" ht="14.4" x14ac:dyDescent="0.3">
      <c r="A400" s="6" t="s">
        <v>44</v>
      </c>
      <c r="B400" s="13">
        <v>0</v>
      </c>
      <c r="C400" s="13">
        <v>1E-3</v>
      </c>
      <c r="D400" s="13">
        <v>1E-3</v>
      </c>
      <c r="E400" s="11">
        <v>1.1000000000000001E-3</v>
      </c>
      <c r="F400" s="11">
        <v>1.1999999999999999E-3</v>
      </c>
      <c r="G400" s="13">
        <v>1E-3</v>
      </c>
      <c r="H400" s="11">
        <v>1.1000000000000001E-3</v>
      </c>
      <c r="I400" s="11">
        <v>1.1000000000000001E-3</v>
      </c>
    </row>
    <row r="401" spans="1:9" ht="14.4" x14ac:dyDescent="0.3">
      <c r="A401" s="6" t="s">
        <v>45</v>
      </c>
      <c r="B401" s="12">
        <v>1E-3</v>
      </c>
      <c r="C401" s="12">
        <v>1E-3</v>
      </c>
      <c r="D401" s="12">
        <v>1E-3</v>
      </c>
      <c r="E401" s="12">
        <v>1E-3</v>
      </c>
      <c r="F401" s="10">
        <v>1.1000000000000001E-3</v>
      </c>
      <c r="G401" s="10">
        <v>1.1000000000000001E-3</v>
      </c>
      <c r="H401" s="10">
        <v>1.1999999999999999E-3</v>
      </c>
      <c r="I401" s="10">
        <v>1.4E-3</v>
      </c>
    </row>
    <row r="402" spans="1:9" ht="14.4" x14ac:dyDescent="0.3">
      <c r="A402" s="6" t="s">
        <v>46</v>
      </c>
      <c r="B402" s="11">
        <v>3.0999999999999999E-3</v>
      </c>
      <c r="C402" s="13">
        <v>3.0000000000000001E-3</v>
      </c>
      <c r="D402" s="13">
        <v>3.0000000000000001E-3</v>
      </c>
      <c r="E402" s="13">
        <v>3.0000000000000001E-3</v>
      </c>
      <c r="F402" s="13">
        <v>3.0000000000000001E-3</v>
      </c>
      <c r="G402" s="11">
        <v>1.6000000000000001E-3</v>
      </c>
      <c r="H402" s="11">
        <v>1.5E-3</v>
      </c>
      <c r="I402" s="11">
        <v>1.5E-3</v>
      </c>
    </row>
    <row r="403" spans="1:9" ht="14.4" x14ac:dyDescent="0.3">
      <c r="A403" s="6" t="s">
        <v>47</v>
      </c>
      <c r="B403" s="12">
        <v>0</v>
      </c>
      <c r="C403" s="12">
        <v>0</v>
      </c>
      <c r="D403" s="12">
        <v>0</v>
      </c>
      <c r="E403" s="12">
        <v>0</v>
      </c>
      <c r="F403" s="12">
        <v>0</v>
      </c>
      <c r="G403" s="8" t="s">
        <v>54</v>
      </c>
      <c r="H403" s="8" t="s">
        <v>54</v>
      </c>
      <c r="I403" s="12">
        <v>0</v>
      </c>
    </row>
    <row r="404" spans="1:9" ht="14.4" x14ac:dyDescent="0.3">
      <c r="A404" s="6" t="s">
        <v>48</v>
      </c>
      <c r="B404" s="11">
        <v>2.24E-2</v>
      </c>
      <c r="C404" s="11">
        <v>2.24E-2</v>
      </c>
      <c r="D404" s="11">
        <v>2.24E-2</v>
      </c>
      <c r="E404" s="11">
        <v>2.24E-2</v>
      </c>
      <c r="F404" s="11">
        <v>2.24E-2</v>
      </c>
      <c r="G404" s="11">
        <v>2.24E-2</v>
      </c>
      <c r="H404" s="11">
        <v>2.24E-2</v>
      </c>
      <c r="I404" s="11">
        <v>2.24E-2</v>
      </c>
    </row>
    <row r="405" spans="1:9" ht="14.4" x14ac:dyDescent="0.3">
      <c r="A405" s="6" t="s">
        <v>49</v>
      </c>
      <c r="B405" s="10">
        <v>3.0499999999999999E-2</v>
      </c>
      <c r="C405" s="10">
        <v>3.1899999999999998E-2</v>
      </c>
      <c r="D405" s="10">
        <v>3.2599999999999997E-2</v>
      </c>
      <c r="E405" s="10">
        <v>3.4200000000000001E-2</v>
      </c>
      <c r="F405" s="12">
        <v>3.5000000000000003E-2</v>
      </c>
      <c r="G405" s="10">
        <v>3.3399999999999999E-2</v>
      </c>
      <c r="H405" s="10">
        <v>3.3700000000000001E-2</v>
      </c>
      <c r="I405" s="10">
        <v>3.73E-2</v>
      </c>
    </row>
    <row r="406" spans="1:9" ht="14.4" x14ac:dyDescent="0.3">
      <c r="A406" s="6" t="s">
        <v>50</v>
      </c>
      <c r="B406" s="13">
        <v>0</v>
      </c>
      <c r="C406" s="13">
        <v>0</v>
      </c>
      <c r="D406" s="13">
        <v>0</v>
      </c>
      <c r="E406" s="13">
        <v>0</v>
      </c>
      <c r="F406" s="13">
        <v>0</v>
      </c>
      <c r="G406" s="13">
        <v>0</v>
      </c>
      <c r="H406" s="13">
        <v>0</v>
      </c>
      <c r="I406" s="9" t="s">
        <v>54</v>
      </c>
    </row>
    <row r="407" spans="1:9" ht="14.4" x14ac:dyDescent="0.3">
      <c r="A407" s="6" t="s">
        <v>51</v>
      </c>
      <c r="B407" s="12">
        <v>0</v>
      </c>
      <c r="C407" s="12">
        <v>0</v>
      </c>
      <c r="D407" s="12">
        <v>0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</row>
    <row r="408" spans="1:9" ht="14.4" x14ac:dyDescent="0.3">
      <c r="A408" s="6" t="s">
        <v>52</v>
      </c>
      <c r="B408" s="11">
        <v>1.7899999999999999E-2</v>
      </c>
      <c r="C408" s="13">
        <v>1.7999999999999999E-2</v>
      </c>
      <c r="D408" s="11">
        <v>1.6500000000000001E-2</v>
      </c>
      <c r="E408" s="11">
        <v>1.5599999999999999E-2</v>
      </c>
      <c r="F408" s="13">
        <v>1.7000000000000001E-2</v>
      </c>
      <c r="G408" s="11">
        <v>1.3599999999999999E-2</v>
      </c>
      <c r="H408" s="11">
        <v>1.2500000000000001E-2</v>
      </c>
      <c r="I408" s="11">
        <v>1.2500000000000001E-2</v>
      </c>
    </row>
    <row r="409" spans="1:9" ht="14.4" x14ac:dyDescent="0.3">
      <c r="A409" s="6" t="s">
        <v>53</v>
      </c>
      <c r="B409" s="12">
        <v>0</v>
      </c>
      <c r="C409" s="12">
        <v>0</v>
      </c>
      <c r="D409" s="12">
        <v>0</v>
      </c>
      <c r="E409" s="8" t="s">
        <v>54</v>
      </c>
      <c r="F409" s="8" t="s">
        <v>54</v>
      </c>
      <c r="G409" s="8" t="s">
        <v>54</v>
      </c>
      <c r="H409" s="8" t="s">
        <v>54</v>
      </c>
      <c r="I409" s="8" t="s">
        <v>54</v>
      </c>
    </row>
    <row r="410" spans="1:9" ht="14.4" x14ac:dyDescent="0.3">
      <c r="A410" s="6" t="s">
        <v>55</v>
      </c>
      <c r="B410" s="13">
        <v>0</v>
      </c>
      <c r="C410" s="13">
        <v>0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</row>
    <row r="411" spans="1:9" ht="14.4" x14ac:dyDescent="0.3">
      <c r="A411" s="6" t="s">
        <v>56</v>
      </c>
      <c r="B411" s="12">
        <v>0</v>
      </c>
      <c r="C411" s="12">
        <v>0</v>
      </c>
      <c r="D411" s="8" t="s">
        <v>54</v>
      </c>
      <c r="E411" s="8" t="s">
        <v>54</v>
      </c>
      <c r="F411" s="8" t="s">
        <v>54</v>
      </c>
      <c r="G411" s="8" t="s">
        <v>54</v>
      </c>
      <c r="H411" s="8" t="s">
        <v>54</v>
      </c>
      <c r="I411" s="8" t="s">
        <v>54</v>
      </c>
    </row>
    <row r="412" spans="1:9" ht="14.4" x14ac:dyDescent="0.3">
      <c r="A412" s="6" t="s">
        <v>57</v>
      </c>
      <c r="B412" s="9" t="s">
        <v>54</v>
      </c>
      <c r="C412" s="13">
        <v>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</row>
    <row r="413" spans="1:9" ht="14.4" x14ac:dyDescent="0.3">
      <c r="A413" s="6" t="s">
        <v>58</v>
      </c>
      <c r="B413" s="12">
        <v>0</v>
      </c>
      <c r="C413" s="12">
        <v>0</v>
      </c>
      <c r="D413" s="12">
        <v>0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</row>
    <row r="414" spans="1:9" ht="14.4" x14ac:dyDescent="0.3">
      <c r="A414" s="6" t="s">
        <v>59</v>
      </c>
      <c r="B414" s="9" t="s">
        <v>54</v>
      </c>
      <c r="C414" s="13">
        <v>0</v>
      </c>
      <c r="D414" s="13">
        <v>0</v>
      </c>
      <c r="E414" s="13">
        <v>0</v>
      </c>
      <c r="F414" s="9" t="s">
        <v>54</v>
      </c>
      <c r="G414" s="9" t="s">
        <v>54</v>
      </c>
      <c r="H414" s="9" t="s">
        <v>54</v>
      </c>
      <c r="I414" s="13">
        <v>0</v>
      </c>
    </row>
    <row r="415" spans="1:9" ht="14.4" x14ac:dyDescent="0.3">
      <c r="A415" s="6" t="s">
        <v>61</v>
      </c>
      <c r="B415" s="12">
        <v>0</v>
      </c>
      <c r="C415" s="12">
        <v>0</v>
      </c>
      <c r="D415" s="12">
        <v>0</v>
      </c>
      <c r="E415" s="12">
        <v>0</v>
      </c>
      <c r="F415" s="8" t="s">
        <v>54</v>
      </c>
      <c r="G415" s="8" t="s">
        <v>54</v>
      </c>
      <c r="H415" s="8" t="s">
        <v>54</v>
      </c>
      <c r="I415" s="8" t="s">
        <v>54</v>
      </c>
    </row>
    <row r="416" spans="1:9" ht="14.4" x14ac:dyDescent="0.3">
      <c r="A416" s="6" t="s">
        <v>63</v>
      </c>
      <c r="B416" s="13">
        <v>0</v>
      </c>
      <c r="C416" s="13">
        <v>0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</row>
    <row r="417" spans="1:9" ht="14.4" x14ac:dyDescent="0.3">
      <c r="A417" s="6" t="s">
        <v>64</v>
      </c>
      <c r="B417" s="12">
        <v>0</v>
      </c>
      <c r="C417" s="12">
        <v>0</v>
      </c>
      <c r="D417" s="12">
        <v>0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</row>
    <row r="418" spans="1:9" ht="14.4" x14ac:dyDescent="0.3">
      <c r="A418" s="6" t="s">
        <v>65</v>
      </c>
      <c r="B418" s="9" t="s">
        <v>54</v>
      </c>
      <c r="C418" s="9" t="s">
        <v>54</v>
      </c>
      <c r="D418" s="9" t="s">
        <v>54</v>
      </c>
      <c r="E418" s="13">
        <v>0</v>
      </c>
      <c r="F418" s="9" t="s">
        <v>54</v>
      </c>
      <c r="G418" s="9" t="s">
        <v>54</v>
      </c>
      <c r="H418" s="9" t="s">
        <v>54</v>
      </c>
      <c r="I418" s="9" t="s">
        <v>54</v>
      </c>
    </row>
    <row r="419" spans="1:9" ht="14.4" x14ac:dyDescent="0.3">
      <c r="A419" s="6" t="s">
        <v>66</v>
      </c>
      <c r="B419" s="12">
        <v>0</v>
      </c>
      <c r="C419" s="12">
        <v>0</v>
      </c>
      <c r="D419" s="12">
        <v>0</v>
      </c>
      <c r="E419" s="8" t="s">
        <v>54</v>
      </c>
      <c r="F419" s="8" t="s">
        <v>54</v>
      </c>
      <c r="G419" s="8" t="s">
        <v>54</v>
      </c>
      <c r="H419" s="8" t="s">
        <v>54</v>
      </c>
      <c r="I419" s="8" t="s">
        <v>54</v>
      </c>
    </row>
    <row r="420" spans="1:9" ht="14.4" x14ac:dyDescent="0.3"/>
    <row r="421" spans="1:9" ht="11.4" customHeight="1" x14ac:dyDescent="0.3">
      <c r="A421" s="1" t="s">
        <v>67</v>
      </c>
    </row>
    <row r="422" spans="1:9" ht="14.4" x14ac:dyDescent="0.3">
      <c r="A422" s="1" t="s">
        <v>54</v>
      </c>
      <c r="B422" s="2" t="s">
        <v>68</v>
      </c>
    </row>
    <row r="423" spans="1:9" ht="14.4" x14ac:dyDescent="0.3">
      <c r="A423" s="1" t="s">
        <v>69</v>
      </c>
    </row>
    <row r="424" spans="1:9" ht="14.4" x14ac:dyDescent="0.3">
      <c r="A424" s="1" t="s">
        <v>31</v>
      </c>
      <c r="B424" s="2" t="s">
        <v>70</v>
      </c>
    </row>
    <row r="425" spans="1:9" ht="14.4" x14ac:dyDescent="0.3">
      <c r="A425" s="1" t="s">
        <v>60</v>
      </c>
      <c r="B425" s="2" t="s">
        <v>71</v>
      </c>
    </row>
    <row r="426" spans="1:9" ht="14.4" x14ac:dyDescent="0.3"/>
    <row r="427" spans="1:9" ht="11.4" customHeight="1" x14ac:dyDescent="0.3">
      <c r="A427" s="2" t="s">
        <v>0</v>
      </c>
    </row>
    <row r="428" spans="1:9" ht="14.4" x14ac:dyDescent="0.3">
      <c r="A428" s="2" t="s">
        <v>1</v>
      </c>
      <c r="B428" s="1" t="s">
        <v>2</v>
      </c>
    </row>
    <row r="429" spans="1:9" ht="14.4" x14ac:dyDescent="0.3">
      <c r="A429" s="2" t="s">
        <v>3</v>
      </c>
      <c r="B429" s="2" t="s">
        <v>4</v>
      </c>
    </row>
    <row r="430" spans="1:9" ht="14.4" x14ac:dyDescent="0.3"/>
    <row r="431" spans="1:9" ht="14.4" x14ac:dyDescent="0.3">
      <c r="A431" s="1" t="s">
        <v>5</v>
      </c>
    </row>
    <row r="432" spans="1:9" ht="14.4" x14ac:dyDescent="0.3">
      <c r="A432" s="1" t="s">
        <v>6</v>
      </c>
    </row>
    <row r="433" spans="1:9" ht="14.4" x14ac:dyDescent="0.3">
      <c r="A433" s="1" t="s">
        <v>7</v>
      </c>
    </row>
    <row r="434" spans="1:9" ht="14.4" x14ac:dyDescent="0.3">
      <c r="A434" s="1" t="s">
        <v>8</v>
      </c>
    </row>
    <row r="435" spans="1:9" ht="14.4" x14ac:dyDescent="0.3"/>
    <row r="436" spans="1:9" ht="14.4" x14ac:dyDescent="0.3">
      <c r="A436" s="4" t="s">
        <v>9</v>
      </c>
      <c r="B436" s="3" t="s">
        <v>10</v>
      </c>
      <c r="C436" s="3" t="s">
        <v>12</v>
      </c>
      <c r="D436" s="3" t="s">
        <v>13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18</v>
      </c>
    </row>
    <row r="437" spans="1:9" ht="14.4" x14ac:dyDescent="0.3">
      <c r="A437" s="5" t="s">
        <v>19</v>
      </c>
      <c r="B437" s="7" t="s">
        <v>11</v>
      </c>
      <c r="C437" s="7" t="s">
        <v>11</v>
      </c>
      <c r="D437" s="7" t="s">
        <v>11</v>
      </c>
      <c r="E437" s="7" t="s">
        <v>11</v>
      </c>
      <c r="F437" s="7" t="s">
        <v>11</v>
      </c>
      <c r="G437" s="7" t="s">
        <v>11</v>
      </c>
      <c r="H437" s="7" t="s">
        <v>11</v>
      </c>
      <c r="I437" s="7" t="s">
        <v>11</v>
      </c>
    </row>
    <row r="438" spans="1:9" ht="14.4" x14ac:dyDescent="0.3">
      <c r="A438" s="6" t="s">
        <v>20</v>
      </c>
      <c r="B438" s="9" t="s">
        <v>54</v>
      </c>
      <c r="C438" s="9" t="s">
        <v>54</v>
      </c>
      <c r="D438" s="11">
        <v>2.9999999999999997E-4</v>
      </c>
      <c r="E438" s="11">
        <v>4.0000000000000002E-4</v>
      </c>
      <c r="F438" s="11">
        <v>2.9999999999999997E-4</v>
      </c>
      <c r="G438" s="11">
        <v>1E-4</v>
      </c>
      <c r="H438" s="13">
        <v>0</v>
      </c>
      <c r="I438" s="13">
        <v>0</v>
      </c>
    </row>
    <row r="439" spans="1:9" ht="14.4" x14ac:dyDescent="0.3">
      <c r="A439" s="6" t="s">
        <v>21</v>
      </c>
      <c r="B439" s="8" t="s">
        <v>54</v>
      </c>
      <c r="C439" s="8" t="s">
        <v>54</v>
      </c>
      <c r="D439" s="10">
        <v>4.0000000000000002E-4</v>
      </c>
      <c r="E439" s="10">
        <v>5.0000000000000001E-4</v>
      </c>
      <c r="F439" s="10">
        <v>2.9999999999999997E-4</v>
      </c>
      <c r="G439" s="10">
        <v>1E-4</v>
      </c>
      <c r="H439" s="10">
        <v>1E-4</v>
      </c>
      <c r="I439" s="12">
        <v>0</v>
      </c>
    </row>
    <row r="440" spans="1:9" ht="14.4" x14ac:dyDescent="0.3">
      <c r="A440" s="6" t="s">
        <v>22</v>
      </c>
      <c r="B440" s="13">
        <v>1E-3</v>
      </c>
      <c r="C440" s="11">
        <v>1.1000000000000001E-3</v>
      </c>
      <c r="D440" s="11">
        <v>8.0000000000000004E-4</v>
      </c>
      <c r="E440" s="13">
        <v>1E-3</v>
      </c>
      <c r="F440" s="11">
        <v>1.1000000000000001E-3</v>
      </c>
      <c r="G440" s="13">
        <v>0</v>
      </c>
      <c r="H440" s="13">
        <v>0</v>
      </c>
      <c r="I440" s="13">
        <v>0</v>
      </c>
    </row>
    <row r="441" spans="1:9" ht="14.4" x14ac:dyDescent="0.3">
      <c r="A441" s="6" t="s">
        <v>23</v>
      </c>
      <c r="B441" s="12">
        <v>0</v>
      </c>
      <c r="C441" s="12">
        <v>0</v>
      </c>
      <c r="D441" s="12">
        <v>0</v>
      </c>
      <c r="E441" s="12">
        <v>0</v>
      </c>
      <c r="F441" s="12">
        <v>0</v>
      </c>
      <c r="G441" s="8" t="s">
        <v>54</v>
      </c>
      <c r="H441" s="8" t="s">
        <v>54</v>
      </c>
      <c r="I441" s="12">
        <v>0</v>
      </c>
    </row>
    <row r="442" spans="1:9" ht="14.4" x14ac:dyDescent="0.3">
      <c r="A442" s="6" t="s">
        <v>24</v>
      </c>
      <c r="B442" s="13">
        <v>0</v>
      </c>
      <c r="C442" s="13">
        <v>0</v>
      </c>
      <c r="D442" s="13">
        <v>0</v>
      </c>
      <c r="E442" s="13">
        <v>0</v>
      </c>
      <c r="F442" s="13">
        <v>0</v>
      </c>
      <c r="G442" s="9" t="s">
        <v>54</v>
      </c>
      <c r="H442" s="9" t="s">
        <v>54</v>
      </c>
      <c r="I442" s="13">
        <v>0</v>
      </c>
    </row>
    <row r="443" spans="1:9" ht="14.4" x14ac:dyDescent="0.3">
      <c r="A443" s="6" t="s">
        <v>25</v>
      </c>
      <c r="B443" s="12">
        <v>0</v>
      </c>
      <c r="C443" s="12">
        <v>0</v>
      </c>
      <c r="D443" s="12">
        <v>0</v>
      </c>
      <c r="E443" s="12">
        <v>0</v>
      </c>
      <c r="F443" s="12">
        <v>0</v>
      </c>
      <c r="G443" s="8" t="s">
        <v>54</v>
      </c>
      <c r="H443" s="8" t="s">
        <v>54</v>
      </c>
      <c r="I443" s="12">
        <v>0</v>
      </c>
    </row>
    <row r="444" spans="1:9" ht="14.4" x14ac:dyDescent="0.3">
      <c r="A444" s="6" t="s">
        <v>26</v>
      </c>
      <c r="B444" s="9" t="s">
        <v>54</v>
      </c>
      <c r="C444" s="9" t="s">
        <v>54</v>
      </c>
      <c r="D444" s="13">
        <v>0</v>
      </c>
      <c r="E444" s="13">
        <v>0</v>
      </c>
      <c r="F444" s="13">
        <v>0</v>
      </c>
      <c r="G444" s="9" t="s">
        <v>54</v>
      </c>
      <c r="H444" s="9" t="s">
        <v>54</v>
      </c>
      <c r="I444" s="13">
        <v>0</v>
      </c>
    </row>
    <row r="445" spans="1:9" ht="14.4" x14ac:dyDescent="0.3">
      <c r="A445" s="6" t="s">
        <v>27</v>
      </c>
      <c r="B445" s="12">
        <v>0</v>
      </c>
      <c r="C445" s="12">
        <v>0</v>
      </c>
      <c r="D445" s="12">
        <v>0</v>
      </c>
      <c r="E445" s="12">
        <v>0</v>
      </c>
      <c r="F445" s="12">
        <v>0</v>
      </c>
      <c r="G445" s="12">
        <v>0</v>
      </c>
      <c r="H445" s="12">
        <v>0</v>
      </c>
      <c r="I445" s="12">
        <v>0</v>
      </c>
    </row>
    <row r="446" spans="1:9" ht="14.4" x14ac:dyDescent="0.3">
      <c r="A446" s="6" t="s">
        <v>28</v>
      </c>
      <c r="B446" s="13">
        <v>0</v>
      </c>
      <c r="C446" s="13">
        <v>0</v>
      </c>
      <c r="D446" s="13">
        <v>0</v>
      </c>
      <c r="E446" s="9" t="s">
        <v>54</v>
      </c>
      <c r="F446" s="13">
        <v>0</v>
      </c>
      <c r="G446" s="9" t="s">
        <v>54</v>
      </c>
      <c r="H446" s="9" t="s">
        <v>54</v>
      </c>
      <c r="I446" s="13">
        <v>0</v>
      </c>
    </row>
    <row r="447" spans="1:9" ht="14.4" x14ac:dyDescent="0.3">
      <c r="A447" s="6" t="s">
        <v>29</v>
      </c>
      <c r="B447" s="12">
        <v>0</v>
      </c>
      <c r="C447" s="12">
        <v>0</v>
      </c>
      <c r="D447" s="12">
        <v>0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</row>
    <row r="448" spans="1:9" ht="14.4" x14ac:dyDescent="0.3">
      <c r="A448" s="6" t="s">
        <v>30</v>
      </c>
      <c r="B448" s="9" t="s">
        <v>54</v>
      </c>
      <c r="C448" s="9" t="s">
        <v>54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</row>
    <row r="449" spans="1:9" ht="14.4" x14ac:dyDescent="0.3">
      <c r="A449" s="6" t="s">
        <v>32</v>
      </c>
      <c r="B449" s="12">
        <v>0</v>
      </c>
      <c r="C449" s="12">
        <v>0</v>
      </c>
      <c r="D449" s="12">
        <v>0</v>
      </c>
      <c r="E449" s="12">
        <v>0</v>
      </c>
      <c r="F449" s="12">
        <v>0</v>
      </c>
      <c r="G449" s="8" t="s">
        <v>54</v>
      </c>
      <c r="H449" s="12">
        <v>0</v>
      </c>
      <c r="I449" s="12">
        <v>0</v>
      </c>
    </row>
    <row r="450" spans="1:9" ht="14.4" x14ac:dyDescent="0.3">
      <c r="A450" s="6" t="s">
        <v>33</v>
      </c>
      <c r="B450" s="13">
        <v>0</v>
      </c>
      <c r="C450" s="13">
        <v>0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</row>
    <row r="451" spans="1:9" ht="14.4" x14ac:dyDescent="0.3">
      <c r="A451" s="6" t="s">
        <v>34</v>
      </c>
      <c r="B451" s="8" t="s">
        <v>54</v>
      </c>
      <c r="C451" s="8" t="s">
        <v>54</v>
      </c>
      <c r="D451" s="10">
        <v>2.7000000000000001E-3</v>
      </c>
      <c r="E451" s="10">
        <v>3.3E-3</v>
      </c>
      <c r="F451" s="10">
        <v>1.5E-3</v>
      </c>
      <c r="G451" s="12">
        <v>0</v>
      </c>
      <c r="H451" s="12">
        <v>0</v>
      </c>
      <c r="I451" s="12">
        <v>0</v>
      </c>
    </row>
    <row r="452" spans="1:9" ht="14.4" x14ac:dyDescent="0.3">
      <c r="A452" s="6" t="s">
        <v>35</v>
      </c>
      <c r="B452" s="13">
        <v>0</v>
      </c>
      <c r="C452" s="13">
        <v>0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</row>
    <row r="453" spans="1:9" ht="14.4" x14ac:dyDescent="0.3">
      <c r="A453" s="6" t="s">
        <v>36</v>
      </c>
      <c r="B453" s="12">
        <v>0</v>
      </c>
      <c r="C453" s="12">
        <v>0</v>
      </c>
      <c r="D453" s="12">
        <v>0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</row>
    <row r="454" spans="1:9" ht="14.4" x14ac:dyDescent="0.3">
      <c r="A454" s="6" t="s">
        <v>37</v>
      </c>
      <c r="B454" s="13">
        <v>0</v>
      </c>
      <c r="C454" s="13">
        <v>0</v>
      </c>
      <c r="D454" s="13">
        <v>0</v>
      </c>
      <c r="E454" s="13">
        <v>0</v>
      </c>
      <c r="F454" s="13">
        <v>0</v>
      </c>
      <c r="G454" s="9" t="s">
        <v>54</v>
      </c>
      <c r="H454" s="9" t="s">
        <v>54</v>
      </c>
      <c r="I454" s="9" t="s">
        <v>54</v>
      </c>
    </row>
    <row r="455" spans="1:9" ht="14.4" x14ac:dyDescent="0.3">
      <c r="A455" s="6" t="s">
        <v>38</v>
      </c>
      <c r="B455" s="12">
        <v>0</v>
      </c>
      <c r="C455" s="12">
        <v>0</v>
      </c>
      <c r="D455" s="12">
        <v>0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</row>
    <row r="456" spans="1:9" ht="14.4" x14ac:dyDescent="0.3">
      <c r="A456" s="6" t="s">
        <v>39</v>
      </c>
      <c r="B456" s="13">
        <v>0</v>
      </c>
      <c r="C456" s="13">
        <v>0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</row>
    <row r="457" spans="1:9" ht="14.4" x14ac:dyDescent="0.3">
      <c r="A457" s="6" t="s">
        <v>40</v>
      </c>
      <c r="B457" s="12">
        <v>0</v>
      </c>
      <c r="C457" s="12">
        <v>0</v>
      </c>
      <c r="D457" s="12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</row>
    <row r="458" spans="1:9" ht="14.4" x14ac:dyDescent="0.3">
      <c r="A458" s="6" t="s">
        <v>41</v>
      </c>
      <c r="B458" s="13">
        <v>0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</row>
    <row r="459" spans="1:9" ht="14.4" x14ac:dyDescent="0.3">
      <c r="A459" s="6" t="s">
        <v>42</v>
      </c>
      <c r="B459" s="12">
        <v>0</v>
      </c>
      <c r="C459" s="12">
        <v>0</v>
      </c>
      <c r="D459" s="12">
        <v>0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</row>
    <row r="460" spans="1:9" ht="14.4" x14ac:dyDescent="0.3">
      <c r="A460" s="6" t="s">
        <v>43</v>
      </c>
      <c r="B460" s="13">
        <v>0</v>
      </c>
      <c r="C460" s="13">
        <v>0</v>
      </c>
      <c r="D460" s="13">
        <v>0</v>
      </c>
      <c r="E460" s="13">
        <v>0</v>
      </c>
      <c r="F460" s="13">
        <v>0</v>
      </c>
      <c r="G460" s="13">
        <v>0</v>
      </c>
      <c r="H460" s="9" t="s">
        <v>54</v>
      </c>
      <c r="I460" s="13">
        <v>0</v>
      </c>
    </row>
    <row r="461" spans="1:9" ht="14.4" x14ac:dyDescent="0.3">
      <c r="A461" s="6" t="s">
        <v>44</v>
      </c>
      <c r="B461" s="12">
        <v>0</v>
      </c>
      <c r="C461" s="12">
        <v>0</v>
      </c>
      <c r="D461" s="12">
        <v>0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</row>
    <row r="462" spans="1:9" ht="14.4" x14ac:dyDescent="0.3">
      <c r="A462" s="6" t="s">
        <v>45</v>
      </c>
      <c r="B462" s="13">
        <v>0</v>
      </c>
      <c r="C462" s="13">
        <v>0</v>
      </c>
      <c r="D462" s="13">
        <v>0</v>
      </c>
      <c r="E462" s="13">
        <v>0</v>
      </c>
      <c r="F462" s="9" t="s">
        <v>54</v>
      </c>
      <c r="G462" s="9" t="s">
        <v>54</v>
      </c>
      <c r="H462" s="9" t="s">
        <v>54</v>
      </c>
      <c r="I462" s="13">
        <v>0</v>
      </c>
    </row>
    <row r="463" spans="1:9" ht="14.4" x14ac:dyDescent="0.3">
      <c r="A463" s="6" t="s">
        <v>46</v>
      </c>
      <c r="B463" s="12">
        <v>0</v>
      </c>
      <c r="C463" s="12">
        <v>0</v>
      </c>
      <c r="D463" s="12">
        <v>0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</row>
    <row r="464" spans="1:9" ht="14.4" x14ac:dyDescent="0.3">
      <c r="A464" s="6" t="s">
        <v>47</v>
      </c>
      <c r="B464" s="11">
        <v>3.2000000000000002E-3</v>
      </c>
      <c r="C464" s="11">
        <v>3.2000000000000002E-3</v>
      </c>
      <c r="D464" s="11">
        <v>3.3E-3</v>
      </c>
      <c r="E464" s="11">
        <v>3.3E-3</v>
      </c>
      <c r="F464" s="11">
        <v>3.3E-3</v>
      </c>
      <c r="G464" s="11">
        <v>3.3E-3</v>
      </c>
      <c r="H464" s="11">
        <v>3.3E-3</v>
      </c>
      <c r="I464" s="11">
        <v>3.3E-3</v>
      </c>
    </row>
    <row r="465" spans="1:9" ht="14.4" x14ac:dyDescent="0.3">
      <c r="A465" s="6" t="s">
        <v>48</v>
      </c>
      <c r="B465" s="12">
        <v>0</v>
      </c>
      <c r="C465" s="12">
        <v>0</v>
      </c>
      <c r="D465" s="12">
        <v>0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</row>
    <row r="466" spans="1:9" ht="14.4" x14ac:dyDescent="0.3">
      <c r="A466" s="6" t="s">
        <v>49</v>
      </c>
      <c r="B466" s="13">
        <v>0</v>
      </c>
      <c r="C466" s="13">
        <v>0</v>
      </c>
      <c r="D466" s="13">
        <v>0</v>
      </c>
      <c r="E466" s="9" t="s">
        <v>54</v>
      </c>
      <c r="F466" s="9" t="s">
        <v>54</v>
      </c>
      <c r="G466" s="9" t="s">
        <v>54</v>
      </c>
      <c r="H466" s="13">
        <v>0</v>
      </c>
      <c r="I466" s="13">
        <v>0</v>
      </c>
    </row>
    <row r="467" spans="1:9" ht="14.4" x14ac:dyDescent="0.3">
      <c r="A467" s="6" t="s">
        <v>50</v>
      </c>
      <c r="B467" s="12">
        <v>0</v>
      </c>
      <c r="C467" s="12">
        <v>0</v>
      </c>
      <c r="D467" s="12">
        <v>0</v>
      </c>
      <c r="E467" s="12">
        <v>0</v>
      </c>
      <c r="F467" s="12">
        <v>0</v>
      </c>
      <c r="G467" s="12">
        <v>0</v>
      </c>
      <c r="H467" s="12">
        <v>0</v>
      </c>
      <c r="I467" s="8" t="s">
        <v>54</v>
      </c>
    </row>
    <row r="468" spans="1:9" ht="14.4" x14ac:dyDescent="0.3">
      <c r="A468" s="6" t="s">
        <v>51</v>
      </c>
      <c r="B468" s="13">
        <v>0</v>
      </c>
      <c r="C468" s="13">
        <v>0</v>
      </c>
      <c r="D468" s="13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</row>
    <row r="469" spans="1:9" ht="14.4" x14ac:dyDescent="0.3">
      <c r="A469" s="6" t="s">
        <v>52</v>
      </c>
      <c r="B469" s="12">
        <v>0</v>
      </c>
      <c r="C469" s="12">
        <v>0</v>
      </c>
      <c r="D469" s="12">
        <v>0</v>
      </c>
      <c r="E469" s="12">
        <v>0</v>
      </c>
      <c r="F469" s="12">
        <v>0</v>
      </c>
      <c r="G469" s="8" t="s">
        <v>54</v>
      </c>
      <c r="H469" s="8" t="s">
        <v>54</v>
      </c>
      <c r="I469" s="12">
        <v>0</v>
      </c>
    </row>
    <row r="470" spans="1:9" ht="14.4" x14ac:dyDescent="0.3">
      <c r="A470" s="6" t="s">
        <v>53</v>
      </c>
      <c r="B470" s="13">
        <v>0</v>
      </c>
      <c r="C470" s="13">
        <v>0</v>
      </c>
      <c r="D470" s="13">
        <v>0</v>
      </c>
      <c r="E470" s="9" t="s">
        <v>54</v>
      </c>
      <c r="F470" s="9" t="s">
        <v>54</v>
      </c>
      <c r="G470" s="9" t="s">
        <v>54</v>
      </c>
      <c r="H470" s="9" t="s">
        <v>54</v>
      </c>
      <c r="I470" s="9" t="s">
        <v>54</v>
      </c>
    </row>
    <row r="471" spans="1:9" ht="14.4" x14ac:dyDescent="0.3">
      <c r="A471" s="6" t="s">
        <v>55</v>
      </c>
      <c r="B471" s="12">
        <v>0</v>
      </c>
      <c r="C471" s="12">
        <v>0</v>
      </c>
      <c r="D471" s="12">
        <v>0</v>
      </c>
      <c r="E471" s="12">
        <v>0</v>
      </c>
      <c r="F471" s="12">
        <v>0</v>
      </c>
      <c r="G471" s="12">
        <v>0</v>
      </c>
      <c r="H471" s="12">
        <v>0</v>
      </c>
      <c r="I471" s="12">
        <v>0</v>
      </c>
    </row>
    <row r="472" spans="1:9" ht="14.4" x14ac:dyDescent="0.3">
      <c r="A472" s="6" t="s">
        <v>56</v>
      </c>
      <c r="B472" s="13">
        <v>0</v>
      </c>
      <c r="C472" s="13">
        <v>0</v>
      </c>
      <c r="D472" s="9" t="s">
        <v>54</v>
      </c>
      <c r="E472" s="9" t="s">
        <v>54</v>
      </c>
      <c r="F472" s="9" t="s">
        <v>54</v>
      </c>
      <c r="G472" s="9" t="s">
        <v>54</v>
      </c>
      <c r="H472" s="9" t="s">
        <v>54</v>
      </c>
      <c r="I472" s="9" t="s">
        <v>54</v>
      </c>
    </row>
    <row r="473" spans="1:9" ht="14.4" x14ac:dyDescent="0.3">
      <c r="A473" s="6" t="s">
        <v>57</v>
      </c>
      <c r="B473" s="8" t="s">
        <v>54</v>
      </c>
      <c r="C473" s="12">
        <v>0</v>
      </c>
      <c r="D473" s="12">
        <v>0</v>
      </c>
      <c r="E473" s="12">
        <v>0</v>
      </c>
      <c r="F473" s="12">
        <v>0</v>
      </c>
      <c r="G473" s="12">
        <v>0</v>
      </c>
      <c r="H473" s="12">
        <v>0</v>
      </c>
      <c r="I473" s="12">
        <v>0</v>
      </c>
    </row>
    <row r="474" spans="1:9" ht="14.4" x14ac:dyDescent="0.3">
      <c r="A474" s="6" t="s">
        <v>58</v>
      </c>
      <c r="B474" s="13">
        <v>0</v>
      </c>
      <c r="C474" s="13">
        <v>0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</row>
    <row r="475" spans="1:9" ht="14.4" x14ac:dyDescent="0.3">
      <c r="A475" s="6" t="s">
        <v>59</v>
      </c>
      <c r="B475" s="8" t="s">
        <v>54</v>
      </c>
      <c r="C475" s="12">
        <v>0</v>
      </c>
      <c r="D475" s="12">
        <v>0</v>
      </c>
      <c r="E475" s="12">
        <v>0</v>
      </c>
      <c r="F475" s="8" t="s">
        <v>54</v>
      </c>
      <c r="G475" s="8" t="s">
        <v>54</v>
      </c>
      <c r="H475" s="8" t="s">
        <v>54</v>
      </c>
      <c r="I475" s="12">
        <v>0</v>
      </c>
    </row>
    <row r="476" spans="1:9" ht="14.4" x14ac:dyDescent="0.3">
      <c r="A476" s="6" t="s">
        <v>61</v>
      </c>
      <c r="B476" s="13">
        <v>0</v>
      </c>
      <c r="C476" s="13">
        <v>0</v>
      </c>
      <c r="D476" s="13">
        <v>0</v>
      </c>
      <c r="E476" s="13">
        <v>0</v>
      </c>
      <c r="F476" s="9" t="s">
        <v>54</v>
      </c>
      <c r="G476" s="9" t="s">
        <v>54</v>
      </c>
      <c r="H476" s="9" t="s">
        <v>54</v>
      </c>
      <c r="I476" s="9" t="s">
        <v>54</v>
      </c>
    </row>
    <row r="477" spans="1:9" ht="14.4" x14ac:dyDescent="0.3">
      <c r="A477" s="6" t="s">
        <v>63</v>
      </c>
      <c r="B477" s="12">
        <v>0</v>
      </c>
      <c r="C477" s="12">
        <v>0</v>
      </c>
      <c r="D477" s="12">
        <v>0</v>
      </c>
      <c r="E477" s="12">
        <v>0</v>
      </c>
      <c r="F477" s="12">
        <v>0</v>
      </c>
      <c r="G477" s="12">
        <v>0</v>
      </c>
      <c r="H477" s="12">
        <v>0</v>
      </c>
      <c r="I477" s="12">
        <v>0</v>
      </c>
    </row>
    <row r="478" spans="1:9" ht="14.4" x14ac:dyDescent="0.3">
      <c r="A478" s="6" t="s">
        <v>64</v>
      </c>
      <c r="B478" s="13">
        <v>0</v>
      </c>
      <c r="C478" s="13">
        <v>0</v>
      </c>
      <c r="D478" s="13">
        <v>0</v>
      </c>
      <c r="E478" s="13">
        <v>0</v>
      </c>
      <c r="F478" s="13">
        <v>0</v>
      </c>
      <c r="G478" s="13">
        <v>0</v>
      </c>
      <c r="H478" s="13">
        <v>0</v>
      </c>
      <c r="I478" s="13">
        <v>0</v>
      </c>
    </row>
    <row r="479" spans="1:9" ht="14.4" x14ac:dyDescent="0.3">
      <c r="A479" s="6" t="s">
        <v>65</v>
      </c>
      <c r="B479" s="8" t="s">
        <v>54</v>
      </c>
      <c r="C479" s="8" t="s">
        <v>54</v>
      </c>
      <c r="D479" s="8" t="s">
        <v>54</v>
      </c>
      <c r="E479" s="12">
        <v>0</v>
      </c>
      <c r="F479" s="8" t="s">
        <v>54</v>
      </c>
      <c r="G479" s="8" t="s">
        <v>54</v>
      </c>
      <c r="H479" s="8" t="s">
        <v>54</v>
      </c>
      <c r="I479" s="8" t="s">
        <v>54</v>
      </c>
    </row>
    <row r="480" spans="1:9" ht="14.4" x14ac:dyDescent="0.3">
      <c r="A480" s="6" t="s">
        <v>66</v>
      </c>
      <c r="B480" s="13">
        <v>0</v>
      </c>
      <c r="C480" s="13">
        <v>0</v>
      </c>
      <c r="D480" s="13">
        <v>0</v>
      </c>
      <c r="E480" s="9" t="s">
        <v>54</v>
      </c>
      <c r="F480" s="9" t="s">
        <v>54</v>
      </c>
      <c r="G480" s="9" t="s">
        <v>54</v>
      </c>
      <c r="H480" s="9" t="s">
        <v>54</v>
      </c>
      <c r="I480" s="9" t="s">
        <v>54</v>
      </c>
    </row>
    <row r="481" spans="1:2" ht="14.4" x14ac:dyDescent="0.3"/>
    <row r="482" spans="1:2" ht="11.4" customHeight="1" x14ac:dyDescent="0.3">
      <c r="A482" s="1" t="s">
        <v>67</v>
      </c>
    </row>
    <row r="483" spans="1:2" ht="14.4" x14ac:dyDescent="0.3">
      <c r="A483" s="1" t="s">
        <v>54</v>
      </c>
      <c r="B483" s="2" t="s">
        <v>68</v>
      </c>
    </row>
    <row r="484" spans="1:2" ht="14.4" x14ac:dyDescent="0.3">
      <c r="A484" s="1" t="s">
        <v>69</v>
      </c>
    </row>
    <row r="485" spans="1:2" ht="14.4" x14ac:dyDescent="0.3">
      <c r="A485" s="1" t="s">
        <v>60</v>
      </c>
      <c r="B485" s="2" t="s">
        <v>71</v>
      </c>
    </row>
    <row r="486" spans="1:2" ht="14.4" x14ac:dyDescent="0.3">
      <c r="A486" s="1" t="s">
        <v>73</v>
      </c>
      <c r="B486" s="2" t="s">
        <v>74</v>
      </c>
    </row>
    <row r="487" spans="1:2" ht="14.4" x14ac:dyDescent="0.3"/>
    <row r="488" spans="1:2" ht="11.4" customHeight="1" x14ac:dyDescent="0.3">
      <c r="A488" s="2" t="s">
        <v>0</v>
      </c>
    </row>
    <row r="489" spans="1:2" ht="14.4" x14ac:dyDescent="0.3">
      <c r="A489" s="2" t="s">
        <v>1</v>
      </c>
      <c r="B489" s="1" t="s">
        <v>2</v>
      </c>
    </row>
    <row r="490" spans="1:2" ht="14.4" x14ac:dyDescent="0.3">
      <c r="A490" s="2" t="s">
        <v>3</v>
      </c>
      <c r="B490" s="2" t="s">
        <v>4</v>
      </c>
    </row>
    <row r="491" spans="1:2" ht="14.4" x14ac:dyDescent="0.3"/>
    <row r="492" spans="1:2" ht="14.4" x14ac:dyDescent="0.3">
      <c r="A492" s="1" t="s">
        <v>5</v>
      </c>
    </row>
    <row r="493" spans="1:2" ht="14.4" x14ac:dyDescent="0.3">
      <c r="A493" s="1" t="s">
        <v>6</v>
      </c>
    </row>
    <row r="494" spans="1:2" ht="14.4" x14ac:dyDescent="0.3">
      <c r="A494" s="1" t="s">
        <v>7</v>
      </c>
    </row>
    <row r="495" spans="1:2" ht="14.4" x14ac:dyDescent="0.3">
      <c r="A495" s="1" t="s">
        <v>8</v>
      </c>
    </row>
    <row r="496" spans="1:2" ht="14.4" x14ac:dyDescent="0.3"/>
    <row r="497" spans="1:9" ht="14.4" x14ac:dyDescent="0.3">
      <c r="A497" s="4" t="s">
        <v>9</v>
      </c>
      <c r="B497" s="3" t="s">
        <v>10</v>
      </c>
      <c r="C497" s="3" t="s">
        <v>12</v>
      </c>
      <c r="D497" s="3" t="s">
        <v>13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18</v>
      </c>
    </row>
    <row r="498" spans="1:9" ht="14.4" x14ac:dyDescent="0.3">
      <c r="A498" s="5" t="s">
        <v>19</v>
      </c>
      <c r="B498" s="7" t="s">
        <v>11</v>
      </c>
      <c r="C498" s="7" t="s">
        <v>11</v>
      </c>
      <c r="D498" s="7" t="s">
        <v>11</v>
      </c>
      <c r="E498" s="7" t="s">
        <v>11</v>
      </c>
      <c r="F498" s="7" t="s">
        <v>11</v>
      </c>
      <c r="G498" s="7" t="s">
        <v>11</v>
      </c>
      <c r="H498" s="7" t="s">
        <v>11</v>
      </c>
      <c r="I498" s="7" t="s">
        <v>11</v>
      </c>
    </row>
    <row r="499" spans="1:9" ht="14.4" x14ac:dyDescent="0.3">
      <c r="A499" s="6" t="s">
        <v>20</v>
      </c>
      <c r="B499" s="8" t="s">
        <v>54</v>
      </c>
      <c r="C499" s="8" t="s">
        <v>54</v>
      </c>
      <c r="D499" s="10">
        <v>1.0500000000000001E-2</v>
      </c>
      <c r="E499" s="10">
        <v>1.29E-2</v>
      </c>
      <c r="F499" s="10">
        <v>1.29E-2</v>
      </c>
      <c r="G499" s="12">
        <v>-1.7000000000000001E-2</v>
      </c>
      <c r="H499" s="10">
        <v>-1.15E-2</v>
      </c>
      <c r="I499" s="10">
        <v>6.4000000000000003E-3</v>
      </c>
    </row>
    <row r="500" spans="1:9" ht="14.4" x14ac:dyDescent="0.3">
      <c r="A500" s="6" t="s">
        <v>21</v>
      </c>
      <c r="B500" s="9" t="s">
        <v>54</v>
      </c>
      <c r="C500" s="9" t="s">
        <v>54</v>
      </c>
      <c r="D500" s="11">
        <v>1.2699999999999999E-2</v>
      </c>
      <c r="E500" s="11">
        <v>1.52E-2</v>
      </c>
      <c r="F500" s="11">
        <v>1.41E-2</v>
      </c>
      <c r="G500" s="13">
        <v>-0.01</v>
      </c>
      <c r="H500" s="11">
        <v>-1.3299999999999999E-2</v>
      </c>
      <c r="I500" s="11">
        <v>7.4999999999999997E-3</v>
      </c>
    </row>
    <row r="501" spans="1:9" ht="14.4" x14ac:dyDescent="0.3">
      <c r="A501" s="6" t="s">
        <v>22</v>
      </c>
      <c r="B501" s="10">
        <v>0.13739999999999999</v>
      </c>
      <c r="C501" s="10">
        <v>1.2800000000000001E-2</v>
      </c>
      <c r="D501" s="10">
        <v>1.6000000000000001E-3</v>
      </c>
      <c r="E501" s="12">
        <v>2E-3</v>
      </c>
      <c r="F501" s="10">
        <v>2.2000000000000001E-3</v>
      </c>
      <c r="G501" s="12">
        <v>0</v>
      </c>
      <c r="H501" s="12">
        <v>0</v>
      </c>
      <c r="I501" s="12">
        <v>0</v>
      </c>
    </row>
    <row r="502" spans="1:9" ht="14.4" x14ac:dyDescent="0.3">
      <c r="A502" s="6" t="s">
        <v>23</v>
      </c>
      <c r="B502" s="13">
        <v>0</v>
      </c>
      <c r="C502" s="13">
        <v>0</v>
      </c>
      <c r="D502" s="13">
        <v>0</v>
      </c>
      <c r="E502" s="13">
        <v>0</v>
      </c>
      <c r="F502" s="13">
        <v>0</v>
      </c>
      <c r="G502" s="9" t="s">
        <v>54</v>
      </c>
      <c r="H502" s="9" t="s">
        <v>54</v>
      </c>
      <c r="I502" s="13">
        <v>0</v>
      </c>
    </row>
    <row r="503" spans="1:9" ht="14.4" x14ac:dyDescent="0.3">
      <c r="A503" s="6" t="s">
        <v>24</v>
      </c>
      <c r="B503" s="12">
        <v>0</v>
      </c>
      <c r="C503" s="12">
        <v>0</v>
      </c>
      <c r="D503" s="12">
        <v>0</v>
      </c>
      <c r="E503" s="12">
        <v>0</v>
      </c>
      <c r="F503" s="10">
        <v>1.6999999999999999E-3</v>
      </c>
      <c r="G503" s="10">
        <v>-0.1298</v>
      </c>
      <c r="H503" s="10">
        <v>3.3E-3</v>
      </c>
      <c r="I503" s="10">
        <v>7.4000000000000003E-3</v>
      </c>
    </row>
    <row r="504" spans="1:9" ht="14.4" x14ac:dyDescent="0.3">
      <c r="A504" s="6" t="s">
        <v>25</v>
      </c>
      <c r="B504" s="13">
        <v>0</v>
      </c>
      <c r="C504" s="13">
        <v>0</v>
      </c>
      <c r="D504" s="13">
        <v>0</v>
      </c>
      <c r="E504" s="13">
        <v>0</v>
      </c>
      <c r="F504" s="13">
        <v>0</v>
      </c>
      <c r="G504" s="9" t="s">
        <v>54</v>
      </c>
      <c r="H504" s="9" t="s">
        <v>54</v>
      </c>
      <c r="I504" s="13">
        <v>0</v>
      </c>
    </row>
    <row r="505" spans="1:9" ht="14.4" x14ac:dyDescent="0.3">
      <c r="A505" s="6" t="s">
        <v>26</v>
      </c>
      <c r="B505" s="8" t="s">
        <v>54</v>
      </c>
      <c r="C505" s="8" t="s">
        <v>54</v>
      </c>
      <c r="D505" s="10">
        <v>1.61E-2</v>
      </c>
      <c r="E505" s="10">
        <v>1.78E-2</v>
      </c>
      <c r="F505" s="10">
        <v>1.8100000000000002E-2</v>
      </c>
      <c r="G505" s="10">
        <v>1.8100000000000002E-2</v>
      </c>
      <c r="H505" s="12">
        <v>1.7999999999999999E-2</v>
      </c>
      <c r="I505" s="10">
        <v>1.8200000000000001E-2</v>
      </c>
    </row>
    <row r="506" spans="1:9" ht="14.4" x14ac:dyDescent="0.3">
      <c r="A506" s="6" t="s">
        <v>27</v>
      </c>
      <c r="B506" s="13">
        <v>0</v>
      </c>
      <c r="C506" s="13">
        <v>0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</row>
    <row r="507" spans="1:9" ht="14.4" x14ac:dyDescent="0.3">
      <c r="A507" s="6" t="s">
        <v>28</v>
      </c>
      <c r="B507" s="10">
        <v>5.9999999999999995E-4</v>
      </c>
      <c r="C507" s="10">
        <v>3.8999999999999998E-3</v>
      </c>
      <c r="D507" s="12">
        <v>3.0000000000000001E-3</v>
      </c>
      <c r="E507" s="10">
        <v>1.5E-3</v>
      </c>
      <c r="F507" s="10">
        <v>3.5999999999999999E-3</v>
      </c>
      <c r="G507" s="10">
        <v>-0.24879999999999999</v>
      </c>
      <c r="H507" s="10">
        <v>-0.2697</v>
      </c>
      <c r="I507" s="10">
        <v>-0.1903</v>
      </c>
    </row>
    <row r="508" spans="1:9" ht="14.4" x14ac:dyDescent="0.3">
      <c r="A508" s="6" t="s">
        <v>29</v>
      </c>
      <c r="B508" s="13">
        <v>2.8000000000000001E-2</v>
      </c>
      <c r="C508" s="11">
        <v>1.0800000000000001E-2</v>
      </c>
      <c r="D508" s="13">
        <v>8.0000000000000002E-3</v>
      </c>
      <c r="E508" s="11">
        <v>7.7000000000000002E-3</v>
      </c>
      <c r="F508" s="11">
        <v>8.0999999999999996E-3</v>
      </c>
      <c r="G508" s="11">
        <v>-0.15279999999999999</v>
      </c>
      <c r="H508" s="11">
        <v>-7.2099999999999997E-2</v>
      </c>
      <c r="I508" s="11">
        <v>2.0999999999999999E-3</v>
      </c>
    </row>
    <row r="509" spans="1:9" ht="14.4" x14ac:dyDescent="0.3">
      <c r="A509" s="6" t="s">
        <v>30</v>
      </c>
      <c r="B509" s="10">
        <v>2.29E-2</v>
      </c>
      <c r="C509" s="10">
        <v>2.29E-2</v>
      </c>
      <c r="D509" s="10">
        <v>5.4300000000000001E-2</v>
      </c>
      <c r="E509" s="12">
        <v>7.1999999999999995E-2</v>
      </c>
      <c r="F509" s="10">
        <v>6.0600000000000001E-2</v>
      </c>
      <c r="G509" s="12">
        <v>6.5000000000000002E-2</v>
      </c>
      <c r="H509" s="10">
        <v>1.5699999999999999E-2</v>
      </c>
      <c r="I509" s="10">
        <v>3.3500000000000002E-2</v>
      </c>
    </row>
    <row r="510" spans="1:9" ht="14.4" x14ac:dyDescent="0.3">
      <c r="A510" s="6" t="s">
        <v>32</v>
      </c>
      <c r="B510" s="13">
        <v>0</v>
      </c>
      <c r="C510" s="13">
        <v>0</v>
      </c>
      <c r="D510" s="13">
        <v>0</v>
      </c>
      <c r="E510" s="13">
        <v>0</v>
      </c>
      <c r="F510" s="13">
        <v>0</v>
      </c>
      <c r="G510" s="9" t="s">
        <v>54</v>
      </c>
      <c r="H510" s="13">
        <v>0</v>
      </c>
      <c r="I510" s="13">
        <v>0</v>
      </c>
    </row>
    <row r="511" spans="1:9" ht="14.4" x14ac:dyDescent="0.3">
      <c r="A511" s="6" t="s">
        <v>33</v>
      </c>
      <c r="B511" s="12">
        <v>0</v>
      </c>
      <c r="C511" s="12">
        <v>0</v>
      </c>
      <c r="D511" s="12">
        <v>0</v>
      </c>
      <c r="E511" s="12">
        <v>0</v>
      </c>
      <c r="F511" s="12">
        <v>0</v>
      </c>
      <c r="G511" s="12">
        <v>0</v>
      </c>
      <c r="H511" s="12">
        <v>0</v>
      </c>
      <c r="I511" s="12">
        <v>0</v>
      </c>
    </row>
    <row r="512" spans="1:9" ht="14.4" x14ac:dyDescent="0.3">
      <c r="A512" s="6" t="s">
        <v>34</v>
      </c>
      <c r="B512" s="13">
        <v>5.8999999999999997E-2</v>
      </c>
      <c r="C512" s="11">
        <v>5.8200000000000002E-2</v>
      </c>
      <c r="D512" s="13">
        <v>3.0000000000000001E-3</v>
      </c>
      <c r="E512" s="11">
        <v>3.3999999999999998E-3</v>
      </c>
      <c r="F512" s="11">
        <v>2.3E-3</v>
      </c>
      <c r="G512" s="13">
        <v>0</v>
      </c>
      <c r="H512" s="11">
        <v>2.8999999999999998E-3</v>
      </c>
      <c r="I512" s="11">
        <v>7.4999999999999997E-3</v>
      </c>
    </row>
    <row r="513" spans="1:9" ht="14.4" x14ac:dyDescent="0.3">
      <c r="A513" s="6" t="s">
        <v>35</v>
      </c>
      <c r="B513" s="10">
        <v>6.9999999999999999E-4</v>
      </c>
      <c r="C513" s="10">
        <v>8.0000000000000004E-4</v>
      </c>
      <c r="D513" s="10">
        <v>6.9999999999999999E-4</v>
      </c>
      <c r="E513" s="10">
        <v>8.9999999999999998E-4</v>
      </c>
      <c r="F513" s="10">
        <v>8.9999999999999998E-4</v>
      </c>
      <c r="G513" s="10">
        <v>-3.3300000000000003E-2</v>
      </c>
      <c r="H513" s="10">
        <v>1.8E-3</v>
      </c>
      <c r="I513" s="10">
        <v>5.1000000000000004E-3</v>
      </c>
    </row>
    <row r="514" spans="1:9" ht="14.4" x14ac:dyDescent="0.3">
      <c r="A514" s="6" t="s">
        <v>36</v>
      </c>
      <c r="B514" s="13">
        <v>0</v>
      </c>
      <c r="C514" s="13">
        <v>0</v>
      </c>
      <c r="D514" s="11">
        <v>2.0000000000000001E-4</v>
      </c>
      <c r="E514" s="11">
        <v>1E-4</v>
      </c>
      <c r="F514" s="11">
        <v>2.0000000000000001E-4</v>
      </c>
      <c r="G514" s="11">
        <v>4.0000000000000002E-4</v>
      </c>
      <c r="H514" s="11">
        <v>6.9999999999999999E-4</v>
      </c>
      <c r="I514" s="11">
        <v>1.2999999999999999E-3</v>
      </c>
    </row>
    <row r="515" spans="1:9" ht="14.4" x14ac:dyDescent="0.3">
      <c r="A515" s="6" t="s">
        <v>37</v>
      </c>
      <c r="B515" s="12">
        <v>0</v>
      </c>
      <c r="C515" s="12">
        <v>0</v>
      </c>
      <c r="D515" s="12">
        <v>0</v>
      </c>
      <c r="E515" s="12">
        <v>0</v>
      </c>
      <c r="F515" s="12">
        <v>0</v>
      </c>
      <c r="G515" s="8" t="s">
        <v>54</v>
      </c>
      <c r="H515" s="8" t="s">
        <v>54</v>
      </c>
      <c r="I515" s="8" t="s">
        <v>54</v>
      </c>
    </row>
    <row r="516" spans="1:9" ht="14.4" x14ac:dyDescent="0.3">
      <c r="A516" s="6" t="s">
        <v>38</v>
      </c>
      <c r="B516" s="13">
        <v>0</v>
      </c>
      <c r="C516" s="13">
        <v>0</v>
      </c>
      <c r="D516" s="13">
        <v>0</v>
      </c>
      <c r="E516" s="13">
        <v>0</v>
      </c>
      <c r="F516" s="11">
        <v>1.1000000000000001E-3</v>
      </c>
      <c r="G516" s="13">
        <v>1E-3</v>
      </c>
      <c r="H516" s="13">
        <v>1E-3</v>
      </c>
      <c r="I516" s="13">
        <v>1E-3</v>
      </c>
    </row>
    <row r="517" spans="1:9" ht="14.4" x14ac:dyDescent="0.3">
      <c r="A517" s="6" t="s">
        <v>39</v>
      </c>
      <c r="B517" s="12">
        <v>0</v>
      </c>
      <c r="C517" s="12">
        <v>0</v>
      </c>
      <c r="D517" s="12">
        <v>0</v>
      </c>
      <c r="E517" s="12">
        <v>0</v>
      </c>
      <c r="F517" s="12">
        <v>0</v>
      </c>
      <c r="G517" s="12">
        <v>0</v>
      </c>
      <c r="H517" s="12">
        <v>0</v>
      </c>
      <c r="I517" s="12">
        <v>0</v>
      </c>
    </row>
    <row r="518" spans="1:9" ht="14.4" x14ac:dyDescent="0.3">
      <c r="A518" s="6" t="s">
        <v>40</v>
      </c>
      <c r="B518" s="13">
        <v>0</v>
      </c>
      <c r="C518" s="13">
        <v>0</v>
      </c>
      <c r="D518" s="13">
        <v>0</v>
      </c>
      <c r="E518" s="13">
        <v>0</v>
      </c>
      <c r="F518" s="13">
        <v>0</v>
      </c>
      <c r="G518" s="13">
        <v>0</v>
      </c>
      <c r="H518" s="13">
        <v>0</v>
      </c>
      <c r="I518" s="13">
        <v>0</v>
      </c>
    </row>
    <row r="519" spans="1:9" ht="14.4" x14ac:dyDescent="0.3">
      <c r="A519" s="6" t="s">
        <v>41</v>
      </c>
      <c r="B519" s="12">
        <v>0</v>
      </c>
      <c r="C519" s="12">
        <v>0</v>
      </c>
      <c r="D519" s="12">
        <v>0</v>
      </c>
      <c r="E519" s="12">
        <v>0</v>
      </c>
      <c r="F519" s="12">
        <v>0</v>
      </c>
      <c r="G519" s="10">
        <v>-0.28539999999999999</v>
      </c>
      <c r="H519" s="10">
        <v>-0.2621</v>
      </c>
      <c r="I519" s="12">
        <v>0</v>
      </c>
    </row>
    <row r="520" spans="1:9" ht="14.4" x14ac:dyDescent="0.3">
      <c r="A520" s="6" t="s">
        <v>42</v>
      </c>
      <c r="B520" s="11">
        <v>4.7000000000000002E-3</v>
      </c>
      <c r="C520" s="11">
        <v>4.3E-3</v>
      </c>
      <c r="D520" s="11">
        <v>5.7000000000000002E-3</v>
      </c>
      <c r="E520" s="13">
        <v>6.0000000000000001E-3</v>
      </c>
      <c r="F520" s="11">
        <v>6.8999999999999999E-3</v>
      </c>
      <c r="G520" s="11">
        <v>-2.07E-2</v>
      </c>
      <c r="H520" s="11">
        <v>-6.7400000000000002E-2</v>
      </c>
      <c r="I520" s="11">
        <v>-8.2500000000000004E-2</v>
      </c>
    </row>
    <row r="521" spans="1:9" ht="14.4" x14ac:dyDescent="0.3">
      <c r="A521" s="6" t="s">
        <v>43</v>
      </c>
      <c r="B521" s="12">
        <v>0</v>
      </c>
      <c r="C521" s="12">
        <v>0</v>
      </c>
      <c r="D521" s="8" t="s">
        <v>54</v>
      </c>
      <c r="E521" s="10">
        <v>8.0000000000000004E-4</v>
      </c>
      <c r="F521" s="10">
        <v>6.9999999999999999E-4</v>
      </c>
      <c r="G521" s="10">
        <v>5.9999999999999995E-4</v>
      </c>
      <c r="H521" s="10">
        <v>6.9999999999999999E-4</v>
      </c>
      <c r="I521" s="10">
        <v>1.1999999999999999E-3</v>
      </c>
    </row>
    <row r="522" spans="1:9" ht="14.4" x14ac:dyDescent="0.3">
      <c r="A522" s="6" t="s">
        <v>44</v>
      </c>
      <c r="B522" s="11">
        <v>2.7099999999999999E-2</v>
      </c>
      <c r="C522" s="11">
        <v>2.9100000000000001E-2</v>
      </c>
      <c r="D522" s="11">
        <v>2.47E-2</v>
      </c>
      <c r="E522" s="13">
        <v>1.6E-2</v>
      </c>
      <c r="F522" s="11">
        <v>1.15E-2</v>
      </c>
      <c r="G522" s="11">
        <v>2.93E-2</v>
      </c>
      <c r="H522" s="11">
        <v>2.69E-2</v>
      </c>
      <c r="I522" s="11">
        <v>2.86E-2</v>
      </c>
    </row>
    <row r="523" spans="1:9" ht="14.4" x14ac:dyDescent="0.3">
      <c r="A523" s="6" t="s">
        <v>45</v>
      </c>
      <c r="B523" s="12">
        <v>0</v>
      </c>
      <c r="C523" s="12">
        <v>0</v>
      </c>
      <c r="D523" s="12">
        <v>0</v>
      </c>
      <c r="E523" s="12">
        <v>0</v>
      </c>
      <c r="F523" s="8" t="s">
        <v>54</v>
      </c>
      <c r="G523" s="8" t="s">
        <v>54</v>
      </c>
      <c r="H523" s="8" t="s">
        <v>54</v>
      </c>
      <c r="I523" s="12">
        <v>0</v>
      </c>
    </row>
    <row r="524" spans="1:9" ht="14.4" x14ac:dyDescent="0.3">
      <c r="A524" s="6" t="s">
        <v>46</v>
      </c>
      <c r="B524" s="13">
        <v>0</v>
      </c>
      <c r="C524" s="13">
        <v>0</v>
      </c>
      <c r="D524" s="13">
        <v>0</v>
      </c>
      <c r="E524" s="13">
        <v>0</v>
      </c>
      <c r="F524" s="13">
        <v>0</v>
      </c>
      <c r="G524" s="13">
        <v>0</v>
      </c>
      <c r="H524" s="13">
        <v>0</v>
      </c>
      <c r="I524" s="13">
        <v>0</v>
      </c>
    </row>
    <row r="525" spans="1:9" ht="14.4" x14ac:dyDescent="0.3">
      <c r="A525" s="6" t="s">
        <v>47</v>
      </c>
      <c r="B525" s="12">
        <v>0</v>
      </c>
      <c r="C525" s="12">
        <v>0</v>
      </c>
      <c r="D525" s="12">
        <v>0</v>
      </c>
      <c r="E525" s="12">
        <v>0</v>
      </c>
      <c r="F525" s="12">
        <v>0</v>
      </c>
      <c r="G525" s="8" t="s">
        <v>54</v>
      </c>
      <c r="H525" s="8" t="s">
        <v>54</v>
      </c>
      <c r="I525" s="12">
        <v>0</v>
      </c>
    </row>
    <row r="526" spans="1:9" ht="14.4" x14ac:dyDescent="0.3">
      <c r="A526" s="6" t="s">
        <v>48</v>
      </c>
      <c r="B526" s="13">
        <v>0</v>
      </c>
      <c r="C526" s="13">
        <v>0</v>
      </c>
      <c r="D526" s="13">
        <v>0</v>
      </c>
      <c r="E526" s="13">
        <v>0</v>
      </c>
      <c r="F526" s="13">
        <v>0</v>
      </c>
      <c r="G526" s="11">
        <v>-2.0999999999999999E-3</v>
      </c>
      <c r="H526" s="11">
        <v>-1.6999999999999999E-3</v>
      </c>
      <c r="I526" s="13">
        <v>0</v>
      </c>
    </row>
    <row r="527" spans="1:9" ht="14.4" x14ac:dyDescent="0.3">
      <c r="A527" s="6" t="s">
        <v>49</v>
      </c>
      <c r="B527" s="12">
        <v>0</v>
      </c>
      <c r="C527" s="12">
        <v>0</v>
      </c>
      <c r="D527" s="12">
        <v>0</v>
      </c>
      <c r="E527" s="8" t="s">
        <v>54</v>
      </c>
      <c r="F527" s="8" t="s">
        <v>54</v>
      </c>
      <c r="G527" s="10">
        <v>-5.8400000000000001E-2</v>
      </c>
      <c r="H527" s="12">
        <v>0</v>
      </c>
      <c r="I527" s="12">
        <v>0</v>
      </c>
    </row>
    <row r="528" spans="1:9" ht="14.4" x14ac:dyDescent="0.3">
      <c r="A528" s="6" t="s">
        <v>50</v>
      </c>
      <c r="B528" s="11">
        <v>2.3999999999999998E-3</v>
      </c>
      <c r="C528" s="11">
        <v>2.3E-3</v>
      </c>
      <c r="D528" s="11">
        <v>2.2000000000000001E-3</v>
      </c>
      <c r="E528" s="11">
        <v>1.9E-3</v>
      </c>
      <c r="F528" s="11">
        <v>2.3E-3</v>
      </c>
      <c r="G528" s="11">
        <v>2.8999999999999998E-3</v>
      </c>
      <c r="H528" s="11">
        <v>2.8E-3</v>
      </c>
      <c r="I528" s="11">
        <v>2.7000000000000001E-3</v>
      </c>
    </row>
    <row r="529" spans="1:9" ht="14.4" x14ac:dyDescent="0.3">
      <c r="A529" s="6" t="s">
        <v>51</v>
      </c>
      <c r="B529" s="12">
        <v>0</v>
      </c>
      <c r="C529" s="12">
        <v>0</v>
      </c>
      <c r="D529" s="12">
        <v>0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</row>
    <row r="530" spans="1:9" ht="14.4" x14ac:dyDescent="0.3">
      <c r="A530" s="6" t="s">
        <v>52</v>
      </c>
      <c r="B530" s="13">
        <v>0</v>
      </c>
      <c r="C530" s="13">
        <v>0</v>
      </c>
      <c r="D530" s="13">
        <v>0</v>
      </c>
      <c r="E530" s="13">
        <v>0</v>
      </c>
      <c r="F530" s="13">
        <v>-6.0000000000000001E-3</v>
      </c>
      <c r="G530" s="11">
        <v>-8.9399999999999993E-2</v>
      </c>
      <c r="H530" s="11">
        <v>-2.1100000000000001E-2</v>
      </c>
      <c r="I530" s="11">
        <v>-6.3E-3</v>
      </c>
    </row>
    <row r="531" spans="1:9" ht="14.4" x14ac:dyDescent="0.3">
      <c r="A531" s="6" t="s">
        <v>53</v>
      </c>
      <c r="B531" s="10">
        <v>3.5700000000000003E-2</v>
      </c>
      <c r="C531" s="10">
        <v>4.6300000000000001E-2</v>
      </c>
      <c r="D531" s="10">
        <v>4.9799999999999997E-2</v>
      </c>
      <c r="E531" s="8" t="s">
        <v>54</v>
      </c>
      <c r="F531" s="8" t="s">
        <v>54</v>
      </c>
      <c r="G531" s="8" t="s">
        <v>54</v>
      </c>
      <c r="H531" s="8" t="s">
        <v>54</v>
      </c>
      <c r="I531" s="8" t="s">
        <v>54</v>
      </c>
    </row>
    <row r="532" spans="1:9" ht="14.4" x14ac:dyDescent="0.3">
      <c r="A532" s="6" t="s">
        <v>55</v>
      </c>
      <c r="B532" s="13">
        <v>0</v>
      </c>
      <c r="C532" s="13">
        <v>0</v>
      </c>
      <c r="D532" s="13">
        <v>0</v>
      </c>
      <c r="E532" s="13">
        <v>0</v>
      </c>
      <c r="F532" s="13">
        <v>0</v>
      </c>
      <c r="G532" s="13">
        <v>0</v>
      </c>
      <c r="H532" s="13">
        <v>0</v>
      </c>
      <c r="I532" s="13">
        <v>0</v>
      </c>
    </row>
    <row r="533" spans="1:9" ht="14.4" x14ac:dyDescent="0.3">
      <c r="A533" s="6" t="s">
        <v>56</v>
      </c>
      <c r="B533" s="10">
        <v>1.5100000000000001E-2</v>
      </c>
      <c r="C533" s="12">
        <v>1.4E-2</v>
      </c>
      <c r="D533" s="10">
        <v>1.43E-2</v>
      </c>
      <c r="E533" s="10">
        <v>1.5299999999999999E-2</v>
      </c>
      <c r="F533" s="10">
        <v>8.8999999999999999E-3</v>
      </c>
      <c r="G533" s="10">
        <v>8.2000000000000007E-3</v>
      </c>
      <c r="H533" s="12">
        <v>8.9999999999999993E-3</v>
      </c>
      <c r="I533" s="12">
        <v>6.0000000000000001E-3</v>
      </c>
    </row>
    <row r="534" spans="1:9" ht="14.4" x14ac:dyDescent="0.3">
      <c r="A534" s="6" t="s">
        <v>57</v>
      </c>
      <c r="B534" s="9" t="s">
        <v>54</v>
      </c>
      <c r="C534" s="13">
        <v>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</row>
    <row r="535" spans="1:9" ht="14.4" x14ac:dyDescent="0.3">
      <c r="A535" s="6" t="s">
        <v>58</v>
      </c>
      <c r="B535" s="12">
        <v>0</v>
      </c>
      <c r="C535" s="12">
        <v>0</v>
      </c>
      <c r="D535" s="12">
        <v>0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</row>
    <row r="536" spans="1:9" ht="14.4" x14ac:dyDescent="0.3">
      <c r="A536" s="6" t="s">
        <v>59</v>
      </c>
      <c r="B536" s="9" t="s">
        <v>54</v>
      </c>
      <c r="C536" s="13">
        <v>0</v>
      </c>
      <c r="D536" s="13">
        <v>0</v>
      </c>
      <c r="E536" s="13">
        <v>0</v>
      </c>
      <c r="F536" s="9" t="s">
        <v>54</v>
      </c>
      <c r="G536" s="9" t="s">
        <v>54</v>
      </c>
      <c r="H536" s="9" t="s">
        <v>54</v>
      </c>
      <c r="I536" s="13">
        <v>0</v>
      </c>
    </row>
    <row r="537" spans="1:9" ht="14.4" x14ac:dyDescent="0.3">
      <c r="A537" s="6" t="s">
        <v>61</v>
      </c>
      <c r="B537" s="12">
        <v>0</v>
      </c>
      <c r="C537" s="12">
        <v>0</v>
      </c>
      <c r="D537" s="12">
        <v>0</v>
      </c>
      <c r="E537" s="12">
        <v>0</v>
      </c>
      <c r="F537" s="8" t="s">
        <v>54</v>
      </c>
      <c r="G537" s="8" t="s">
        <v>54</v>
      </c>
      <c r="H537" s="8" t="s">
        <v>54</v>
      </c>
      <c r="I537" s="8" t="s">
        <v>54</v>
      </c>
    </row>
    <row r="538" spans="1:9" ht="14.4" x14ac:dyDescent="0.3">
      <c r="A538" s="6" t="s">
        <v>63</v>
      </c>
      <c r="B538" s="11">
        <v>1.3899999999999999E-2</v>
      </c>
      <c r="C538" s="11">
        <v>1.43E-2</v>
      </c>
      <c r="D538" s="11">
        <v>1.4500000000000001E-2</v>
      </c>
      <c r="E538" s="13">
        <v>1.4999999999999999E-2</v>
      </c>
      <c r="F538" s="11">
        <v>2.1100000000000001E-2</v>
      </c>
      <c r="G538" s="11">
        <v>2.2800000000000001E-2</v>
      </c>
      <c r="H538" s="11">
        <v>2.6100000000000002E-2</v>
      </c>
      <c r="I538" s="11">
        <v>2.5100000000000001E-2</v>
      </c>
    </row>
    <row r="539" spans="1:9" ht="14.4" x14ac:dyDescent="0.3">
      <c r="A539" s="6" t="s">
        <v>64</v>
      </c>
      <c r="B539" s="12">
        <v>4.0000000000000001E-3</v>
      </c>
      <c r="C539" s="10">
        <v>3.3999999999999998E-3</v>
      </c>
      <c r="D539" s="10">
        <v>3.8999999999999998E-3</v>
      </c>
      <c r="E539" s="10">
        <v>3.3999999999999998E-3</v>
      </c>
      <c r="F539" s="10">
        <v>3.0999999999999999E-3</v>
      </c>
      <c r="G539" s="10">
        <v>2.2000000000000001E-3</v>
      </c>
      <c r="H539" s="10">
        <v>1.1000000000000001E-3</v>
      </c>
      <c r="I539" s="10">
        <v>8.0000000000000004E-4</v>
      </c>
    </row>
    <row r="540" spans="1:9" ht="14.4" x14ac:dyDescent="0.3">
      <c r="A540" s="6" t="s">
        <v>65</v>
      </c>
      <c r="B540" s="9" t="s">
        <v>54</v>
      </c>
      <c r="C540" s="9" t="s">
        <v>54</v>
      </c>
      <c r="D540" s="9" t="s">
        <v>54</v>
      </c>
      <c r="E540" s="13">
        <v>0</v>
      </c>
      <c r="F540" s="9" t="s">
        <v>54</v>
      </c>
      <c r="G540" s="9" t="s">
        <v>54</v>
      </c>
      <c r="H540" s="9" t="s">
        <v>54</v>
      </c>
      <c r="I540" s="9" t="s">
        <v>54</v>
      </c>
    </row>
    <row r="541" spans="1:9" ht="14.4" x14ac:dyDescent="0.3">
      <c r="A541" s="6" t="s">
        <v>66</v>
      </c>
      <c r="B541" s="12">
        <v>0</v>
      </c>
      <c r="C541" s="12">
        <v>0</v>
      </c>
      <c r="D541" s="12">
        <v>0</v>
      </c>
      <c r="E541" s="8" t="s">
        <v>54</v>
      </c>
      <c r="F541" s="8" t="s">
        <v>54</v>
      </c>
      <c r="G541" s="8" t="s">
        <v>54</v>
      </c>
      <c r="H541" s="8" t="s">
        <v>54</v>
      </c>
      <c r="I541" s="8" t="s">
        <v>54</v>
      </c>
    </row>
    <row r="542" spans="1:9" ht="14.4" x14ac:dyDescent="0.3"/>
    <row r="543" spans="1:9" ht="11.4" customHeight="1" x14ac:dyDescent="0.3">
      <c r="A543" s="1" t="s">
        <v>67</v>
      </c>
    </row>
    <row r="544" spans="1:9" ht="14.4" x14ac:dyDescent="0.3">
      <c r="A544" s="1" t="s">
        <v>54</v>
      </c>
      <c r="B544" s="2" t="s">
        <v>68</v>
      </c>
    </row>
    <row r="545" spans="1:2" ht="14.4" x14ac:dyDescent="0.3">
      <c r="A545" s="1" t="s">
        <v>69</v>
      </c>
    </row>
    <row r="546" spans="1:2" ht="14.4" x14ac:dyDescent="0.3">
      <c r="A546" s="1" t="s">
        <v>31</v>
      </c>
      <c r="B546" s="2" t="s">
        <v>70</v>
      </c>
    </row>
    <row r="547" spans="1:2" ht="14.4" x14ac:dyDescent="0.3">
      <c r="A547" s="1" t="s">
        <v>60</v>
      </c>
      <c r="B547" s="2" t="s">
        <v>71</v>
      </c>
    </row>
    <row r="548" spans="1:2" ht="14.4" x14ac:dyDescent="0.3">
      <c r="A548" s="1" t="s">
        <v>73</v>
      </c>
      <c r="B548" s="2" t="s">
        <v>74</v>
      </c>
    </row>
    <row r="549" spans="1:2" ht="14.4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8DEA-A6F1-4FF0-892B-F66487643BA5}">
  <dimension ref="A1:I44"/>
  <sheetViews>
    <sheetView workbookViewId="0">
      <selection activeCell="J32" sqref="J32"/>
    </sheetView>
  </sheetViews>
  <sheetFormatPr defaultRowHeight="14.4" x14ac:dyDescent="0.3"/>
  <cols>
    <col min="1" max="9" width="10.33203125" customWidth="1"/>
  </cols>
  <sheetData>
    <row r="1" spans="1:9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</row>
    <row r="2" spans="1:9" x14ac:dyDescent="0.3">
      <c r="A2" t="s">
        <v>9</v>
      </c>
      <c r="B2" t="s">
        <v>10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9" x14ac:dyDescent="0.3">
      <c r="A3" t="s">
        <v>20</v>
      </c>
      <c r="B3">
        <v>0.12659999999999999</v>
      </c>
      <c r="C3">
        <v>0.13519999999999999</v>
      </c>
      <c r="D3">
        <v>0.1091</v>
      </c>
      <c r="E3">
        <v>0.1168</v>
      </c>
      <c r="F3">
        <v>0.13059999999999999</v>
      </c>
      <c r="G3">
        <v>0.19750000000000001</v>
      </c>
      <c r="H3">
        <v>0.21579999999999999</v>
      </c>
      <c r="I3">
        <v>0.1953</v>
      </c>
    </row>
    <row r="4" spans="1:9" x14ac:dyDescent="0.3">
      <c r="A4" t="s">
        <v>21</v>
      </c>
      <c r="B4">
        <v>0.14419999999999999</v>
      </c>
      <c r="C4">
        <v>0.15379999999999999</v>
      </c>
      <c r="D4">
        <v>0.12</v>
      </c>
      <c r="E4">
        <v>0.13059999999999999</v>
      </c>
      <c r="F4">
        <v>0.1386</v>
      </c>
      <c r="G4">
        <v>0.21579999999999999</v>
      </c>
      <c r="H4">
        <v>0.2379</v>
      </c>
      <c r="I4">
        <v>0.21560000000000001</v>
      </c>
    </row>
    <row r="5" spans="1:9" x14ac:dyDescent="0.3">
      <c r="A5" t="s">
        <v>22</v>
      </c>
      <c r="B5">
        <v>0.13350000000000001</v>
      </c>
      <c r="C5">
        <v>0.14119999999999999</v>
      </c>
      <c r="D5">
        <v>0.16470000000000001</v>
      </c>
      <c r="E5">
        <v>0.1434</v>
      </c>
      <c r="F5">
        <v>0.1288</v>
      </c>
      <c r="G5">
        <v>0.30259999999999998</v>
      </c>
      <c r="H5">
        <v>0.2495</v>
      </c>
      <c r="I5">
        <v>0.19600000000000001</v>
      </c>
    </row>
    <row r="6" spans="1:9" x14ac:dyDescent="0.3">
      <c r="A6" t="s">
        <v>23</v>
      </c>
      <c r="B6">
        <v>5.9499999999999997E-2</v>
      </c>
      <c r="C6">
        <v>0.06</v>
      </c>
      <c r="D6">
        <v>5.9499999999999997E-2</v>
      </c>
      <c r="E6">
        <v>6.0600000000000001E-2</v>
      </c>
      <c r="F6">
        <v>6.4000000000000001E-2</v>
      </c>
      <c r="G6">
        <v>5.7700000000000001E-2</v>
      </c>
      <c r="H6">
        <v>5.62E-2</v>
      </c>
      <c r="I6">
        <v>6.9099999999999995E-2</v>
      </c>
    </row>
    <row r="7" spans="1:9" x14ac:dyDescent="0.3">
      <c r="A7" t="s">
        <v>24</v>
      </c>
      <c r="B7">
        <v>0.1094</v>
      </c>
      <c r="C7">
        <v>0.1128</v>
      </c>
      <c r="D7">
        <v>0.13170000000000001</v>
      </c>
      <c r="E7">
        <v>0.13589999999999999</v>
      </c>
      <c r="F7">
        <v>0.17100000000000001</v>
      </c>
      <c r="G7">
        <v>0.2024</v>
      </c>
      <c r="H7">
        <v>0.28670000000000001</v>
      </c>
      <c r="I7">
        <v>0.25940000000000002</v>
      </c>
    </row>
    <row r="8" spans="1:9" x14ac:dyDescent="0.3">
      <c r="A8" t="s">
        <v>25</v>
      </c>
      <c r="B8">
        <v>3.8800000000000001E-2</v>
      </c>
      <c r="C8">
        <v>5.0299999999999997E-2</v>
      </c>
      <c r="D8">
        <v>5.3900000000000003E-2</v>
      </c>
      <c r="E8">
        <v>4.0899999999999999E-2</v>
      </c>
      <c r="F8">
        <v>7.4700000000000003E-2</v>
      </c>
      <c r="G8">
        <v>0.24340000000000001</v>
      </c>
      <c r="H8">
        <v>0.16450000000000001</v>
      </c>
      <c r="I8">
        <v>0.1082</v>
      </c>
    </row>
    <row r="9" spans="1:9" x14ac:dyDescent="0.3">
      <c r="A9" t="s">
        <v>26</v>
      </c>
      <c r="B9">
        <v>0.12609999999999999</v>
      </c>
      <c r="C9">
        <v>0.12670000000000001</v>
      </c>
      <c r="D9">
        <v>9.2499999999999999E-2</v>
      </c>
      <c r="E9">
        <v>0.12130000000000001</v>
      </c>
      <c r="F9">
        <v>0.121</v>
      </c>
      <c r="G9">
        <v>0.18459999999999999</v>
      </c>
      <c r="H9">
        <v>0.25159999999999999</v>
      </c>
      <c r="I9">
        <v>0.21529999999999999</v>
      </c>
    </row>
    <row r="10" spans="1:9" x14ac:dyDescent="0.3">
      <c r="A10" t="s">
        <v>27</v>
      </c>
      <c r="B10">
        <v>4.2999999999999997E-2</v>
      </c>
      <c r="C10">
        <v>5.3100000000000001E-2</v>
      </c>
      <c r="D10">
        <v>5.7500000000000002E-2</v>
      </c>
      <c r="E10">
        <v>5.3100000000000001E-2</v>
      </c>
      <c r="F10">
        <v>8.2699999999999996E-2</v>
      </c>
      <c r="G10">
        <v>0.1391</v>
      </c>
      <c r="H10">
        <v>0.1444</v>
      </c>
      <c r="I10">
        <v>0.13969999999999999</v>
      </c>
    </row>
    <row r="11" spans="1:9" x14ac:dyDescent="0.3">
      <c r="A11" t="s">
        <v>28</v>
      </c>
      <c r="B11">
        <v>0.16250000000000001</v>
      </c>
      <c r="C11">
        <v>0.14960000000000001</v>
      </c>
      <c r="D11">
        <v>0.16589999999999999</v>
      </c>
      <c r="E11">
        <v>0.1137</v>
      </c>
      <c r="F11">
        <v>0.15809999999999999</v>
      </c>
      <c r="G11">
        <v>0.28399999999999997</v>
      </c>
      <c r="H11">
        <v>0.42259999999999998</v>
      </c>
      <c r="I11">
        <v>0.32169999999999999</v>
      </c>
    </row>
    <row r="12" spans="1:9" x14ac:dyDescent="0.3">
      <c r="A12" t="s">
        <v>29</v>
      </c>
      <c r="B12">
        <v>9.9000000000000005E-2</v>
      </c>
      <c r="C12">
        <v>0.1153</v>
      </c>
      <c r="D12">
        <v>0.1206</v>
      </c>
      <c r="E12">
        <v>0.1308</v>
      </c>
      <c r="F12">
        <v>0.1542</v>
      </c>
      <c r="G12">
        <v>0.38490000000000002</v>
      </c>
      <c r="H12">
        <v>0.3231</v>
      </c>
      <c r="I12">
        <v>0.26879999999999998</v>
      </c>
    </row>
    <row r="13" spans="1:9" x14ac:dyDescent="0.3">
      <c r="A13" t="s">
        <v>30</v>
      </c>
      <c r="B13">
        <v>0.30940000000000001</v>
      </c>
      <c r="C13">
        <v>0.33119999999999999</v>
      </c>
      <c r="D13">
        <v>0.15210000000000001</v>
      </c>
      <c r="E13">
        <v>0.14299999999999999</v>
      </c>
      <c r="F13">
        <v>0.16470000000000001</v>
      </c>
      <c r="G13">
        <v>0.2329</v>
      </c>
      <c r="H13">
        <v>0.18260000000000001</v>
      </c>
      <c r="I13">
        <v>0.16600000000000001</v>
      </c>
    </row>
    <row r="14" spans="1:9" x14ac:dyDescent="0.3">
      <c r="A14" t="s">
        <v>32</v>
      </c>
      <c r="B14">
        <v>0.1195</v>
      </c>
      <c r="C14">
        <v>0.1326</v>
      </c>
      <c r="D14">
        <v>0.11269999999999999</v>
      </c>
      <c r="E14">
        <v>0.12859999999999999</v>
      </c>
      <c r="F14">
        <v>0.1242</v>
      </c>
      <c r="G14">
        <v>0.16400000000000001</v>
      </c>
      <c r="H14">
        <v>0.19450000000000001</v>
      </c>
      <c r="I14">
        <v>0.20569999999999999</v>
      </c>
    </row>
    <row r="15" spans="1:9" x14ac:dyDescent="0.3">
      <c r="A15" t="s">
        <v>33</v>
      </c>
      <c r="B15">
        <v>8.2100000000000006E-2</v>
      </c>
      <c r="C15">
        <v>8.5099999999999995E-2</v>
      </c>
      <c r="D15">
        <v>8.4199999999999997E-2</v>
      </c>
      <c r="E15">
        <v>8.2299999999999998E-2</v>
      </c>
      <c r="F15">
        <v>7.7499999999999999E-2</v>
      </c>
      <c r="G15">
        <v>9.3700000000000006E-2</v>
      </c>
      <c r="H15">
        <v>0.1028</v>
      </c>
      <c r="I15">
        <v>0.1024</v>
      </c>
    </row>
    <row r="16" spans="1:9" x14ac:dyDescent="0.3">
      <c r="A16" t="s">
        <v>34</v>
      </c>
      <c r="B16">
        <v>0.13780000000000001</v>
      </c>
      <c r="C16">
        <v>0.1434</v>
      </c>
      <c r="D16">
        <v>0.15479999999999999</v>
      </c>
      <c r="E16">
        <v>0.16089999999999999</v>
      </c>
      <c r="F16">
        <v>0.18629999999999999</v>
      </c>
      <c r="G16">
        <v>0.33239999999999997</v>
      </c>
      <c r="H16">
        <v>0.31240000000000001</v>
      </c>
      <c r="I16">
        <v>0.27579999999999999</v>
      </c>
    </row>
    <row r="17" spans="1:9" x14ac:dyDescent="0.3">
      <c r="A17" t="s">
        <v>35</v>
      </c>
      <c r="B17">
        <v>0.1527</v>
      </c>
      <c r="C17">
        <v>0.2082</v>
      </c>
      <c r="D17">
        <v>0.19900000000000001</v>
      </c>
      <c r="E17">
        <v>0.18149999999999999</v>
      </c>
      <c r="F17">
        <v>0.1918</v>
      </c>
      <c r="G17">
        <v>0.25430000000000003</v>
      </c>
      <c r="H17">
        <v>0.29530000000000001</v>
      </c>
      <c r="I17">
        <v>0.28179999999999999</v>
      </c>
    </row>
    <row r="18" spans="1:9" x14ac:dyDescent="0.3">
      <c r="A18" t="s">
        <v>36</v>
      </c>
      <c r="B18">
        <v>4.87E-2</v>
      </c>
      <c r="C18">
        <v>4.9500000000000002E-2</v>
      </c>
      <c r="D18">
        <v>6.1600000000000002E-2</v>
      </c>
      <c r="E18">
        <v>5.8000000000000003E-2</v>
      </c>
      <c r="F18">
        <v>7.51E-2</v>
      </c>
      <c r="G18">
        <v>0.16089999999999999</v>
      </c>
      <c r="H18">
        <v>0.2056</v>
      </c>
      <c r="I18">
        <v>0.13900000000000001</v>
      </c>
    </row>
    <row r="19" spans="1:9" x14ac:dyDescent="0.3">
      <c r="A19" t="s">
        <v>37</v>
      </c>
      <c r="B19">
        <v>3.8199999999999998E-2</v>
      </c>
      <c r="C19">
        <v>3.5000000000000003E-2</v>
      </c>
      <c r="D19">
        <v>4.9099999999999998E-2</v>
      </c>
      <c r="E19">
        <v>5.0299999999999997E-2</v>
      </c>
      <c r="F19">
        <v>6.1899999999999997E-2</v>
      </c>
      <c r="G19">
        <v>0.1396</v>
      </c>
      <c r="H19">
        <v>0.1704</v>
      </c>
      <c r="I19">
        <v>0.1232</v>
      </c>
    </row>
    <row r="20" spans="1:9" x14ac:dyDescent="0.3">
      <c r="A20" t="s">
        <v>38</v>
      </c>
      <c r="B20">
        <v>6.7199999999999996E-2</v>
      </c>
      <c r="C20">
        <v>7.0800000000000002E-2</v>
      </c>
      <c r="D20">
        <v>7.6100000000000001E-2</v>
      </c>
      <c r="E20">
        <v>8.2100000000000006E-2</v>
      </c>
      <c r="F20">
        <v>8.2400000000000001E-2</v>
      </c>
      <c r="G20">
        <v>0.1041</v>
      </c>
      <c r="H20">
        <v>0.18559999999999999</v>
      </c>
      <c r="I20">
        <v>0.2046</v>
      </c>
    </row>
    <row r="21" spans="1:9" x14ac:dyDescent="0.3">
      <c r="A21" t="s">
        <v>39</v>
      </c>
      <c r="B21">
        <v>4.7199999999999999E-2</v>
      </c>
      <c r="C21">
        <v>4.5400000000000003E-2</v>
      </c>
      <c r="D21">
        <v>4.2900000000000001E-2</v>
      </c>
      <c r="E21">
        <v>3.44E-2</v>
      </c>
      <c r="F21">
        <v>3.1099999999999999E-2</v>
      </c>
      <c r="G21">
        <v>1.84E-2</v>
      </c>
      <c r="H21">
        <v>2.2000000000000001E-3</v>
      </c>
      <c r="I21">
        <v>1.6E-2</v>
      </c>
    </row>
    <row r="22" spans="1:9" x14ac:dyDescent="0.3">
      <c r="A22" t="s">
        <v>40</v>
      </c>
      <c r="B22">
        <v>0.34300000000000003</v>
      </c>
      <c r="C22">
        <v>0.3261</v>
      </c>
      <c r="D22">
        <v>0.32040000000000002</v>
      </c>
      <c r="E22">
        <v>0.31830000000000003</v>
      </c>
      <c r="F22">
        <v>0.32850000000000001</v>
      </c>
      <c r="G22">
        <v>0.3392</v>
      </c>
      <c r="H22">
        <v>0.30759999999999998</v>
      </c>
      <c r="I22">
        <v>0.28999999999999998</v>
      </c>
    </row>
    <row r="23" spans="1:9" x14ac:dyDescent="0.3">
      <c r="A23" t="s">
        <v>41</v>
      </c>
      <c r="B23">
        <v>0.114</v>
      </c>
      <c r="C23">
        <v>0.12</v>
      </c>
      <c r="D23">
        <v>0.14000000000000001</v>
      </c>
      <c r="E23">
        <v>0.14810000000000001</v>
      </c>
      <c r="F23">
        <v>0.15040000000000001</v>
      </c>
      <c r="G23">
        <v>0.28160000000000002</v>
      </c>
      <c r="H23">
        <v>0.35339999999999999</v>
      </c>
      <c r="I23">
        <v>0.29139999999999999</v>
      </c>
    </row>
    <row r="24" spans="1:9" x14ac:dyDescent="0.3">
      <c r="A24" t="s">
        <v>42</v>
      </c>
      <c r="B24">
        <v>0.08</v>
      </c>
      <c r="C24">
        <v>8.3199999999999996E-2</v>
      </c>
      <c r="D24">
        <v>9.11E-2</v>
      </c>
      <c r="E24">
        <v>9.8900000000000002E-2</v>
      </c>
      <c r="F24">
        <v>0.10050000000000001</v>
      </c>
      <c r="G24">
        <v>0.15210000000000001</v>
      </c>
      <c r="H24">
        <v>0.25869999999999999</v>
      </c>
      <c r="I24">
        <v>0.24360000000000001</v>
      </c>
    </row>
    <row r="25" spans="1:9" x14ac:dyDescent="0.3">
      <c r="A25" t="s">
        <v>43</v>
      </c>
      <c r="B25">
        <v>5.2699999999999997E-2</v>
      </c>
      <c r="C25">
        <v>5.1299999999999998E-2</v>
      </c>
      <c r="D25">
        <v>5.04E-2</v>
      </c>
      <c r="E25">
        <v>5.8999999999999997E-2</v>
      </c>
      <c r="F25">
        <v>5.7099999999999998E-2</v>
      </c>
      <c r="G25">
        <v>6.4899999999999999E-2</v>
      </c>
      <c r="H25">
        <v>5.8599999999999999E-2</v>
      </c>
      <c r="I25">
        <v>5.3600000000000002E-2</v>
      </c>
    </row>
    <row r="26" spans="1:9" x14ac:dyDescent="0.3">
      <c r="A26" t="s">
        <v>44</v>
      </c>
      <c r="B26">
        <v>7.7600000000000002E-2</v>
      </c>
      <c r="C26">
        <v>6.2E-2</v>
      </c>
      <c r="D26">
        <v>0.1096</v>
      </c>
      <c r="E26">
        <v>0.1178</v>
      </c>
      <c r="F26">
        <v>0.14230000000000001</v>
      </c>
      <c r="G26">
        <v>0.23630000000000001</v>
      </c>
      <c r="H26">
        <v>0.2903</v>
      </c>
      <c r="I26">
        <v>0.22259999999999999</v>
      </c>
    </row>
    <row r="27" spans="1:9" x14ac:dyDescent="0.3">
      <c r="A27" t="s">
        <v>45</v>
      </c>
      <c r="B27">
        <v>4.9200000000000001E-2</v>
      </c>
      <c r="C27">
        <v>5.5800000000000002E-2</v>
      </c>
      <c r="D27">
        <v>5.8099999999999999E-2</v>
      </c>
      <c r="E27">
        <v>6.2E-2</v>
      </c>
      <c r="F27">
        <v>7.4099999999999999E-2</v>
      </c>
      <c r="G27">
        <v>0.1739</v>
      </c>
      <c r="H27">
        <v>5.74E-2</v>
      </c>
      <c r="I27">
        <v>5.1799999999999999E-2</v>
      </c>
    </row>
    <row r="28" spans="1:9" x14ac:dyDescent="0.3">
      <c r="A28" t="s">
        <v>46</v>
      </c>
      <c r="B28">
        <v>5.6000000000000001E-2</v>
      </c>
      <c r="C28">
        <v>5.8900000000000001E-2</v>
      </c>
      <c r="D28">
        <v>6.1699999999999998E-2</v>
      </c>
      <c r="E28">
        <v>7.0499999999999993E-2</v>
      </c>
      <c r="F28">
        <v>7.4399999999999994E-2</v>
      </c>
      <c r="G28">
        <v>9.1999999999999998E-2</v>
      </c>
      <c r="H28">
        <v>0.1042</v>
      </c>
      <c r="I28">
        <v>0.1022</v>
      </c>
    </row>
    <row r="29" spans="1:9" x14ac:dyDescent="0.3">
      <c r="A29" t="s">
        <v>47</v>
      </c>
      <c r="B29">
        <v>5.3800000000000001E-2</v>
      </c>
      <c r="C29">
        <v>5.9700000000000003E-2</v>
      </c>
      <c r="D29">
        <v>7.0400000000000004E-2</v>
      </c>
      <c r="E29">
        <v>8.1799999999999998E-2</v>
      </c>
      <c r="F29">
        <v>7.6200000000000004E-2</v>
      </c>
      <c r="G29">
        <v>0.10150000000000001</v>
      </c>
      <c r="H29">
        <v>0.12230000000000001</v>
      </c>
      <c r="I29">
        <v>0.115</v>
      </c>
    </row>
    <row r="30" spans="1:9" x14ac:dyDescent="0.3">
      <c r="A30" t="s">
        <v>48</v>
      </c>
      <c r="B30">
        <v>8.8700000000000001E-2</v>
      </c>
      <c r="C30">
        <v>9.1700000000000004E-2</v>
      </c>
      <c r="D30">
        <v>9.7100000000000006E-2</v>
      </c>
      <c r="E30">
        <v>8.7999999999999995E-2</v>
      </c>
      <c r="F30">
        <v>8.5199999999999998E-2</v>
      </c>
      <c r="G30">
        <v>0.13239999999999999</v>
      </c>
      <c r="H30">
        <v>0.13</v>
      </c>
      <c r="I30">
        <v>0.1077</v>
      </c>
    </row>
    <row r="31" spans="1:9" x14ac:dyDescent="0.3">
      <c r="A31" t="s">
        <v>49</v>
      </c>
      <c r="B31">
        <v>5.2600000000000001E-2</v>
      </c>
      <c r="C31">
        <v>6.2E-2</v>
      </c>
      <c r="D31">
        <v>6.7699999999999996E-2</v>
      </c>
      <c r="E31">
        <v>5.1999999999999998E-2</v>
      </c>
      <c r="F31">
        <v>9.7900000000000001E-2</v>
      </c>
      <c r="G31">
        <v>0.15390000000000001</v>
      </c>
      <c r="H31">
        <v>0.1017</v>
      </c>
      <c r="I31">
        <v>8.4099999999999994E-2</v>
      </c>
    </row>
    <row r="32" spans="1:9" x14ac:dyDescent="0.3">
      <c r="A32" t="s">
        <v>50</v>
      </c>
      <c r="B32">
        <v>4.8899999999999999E-2</v>
      </c>
      <c r="C32">
        <v>4.8399999999999999E-2</v>
      </c>
      <c r="D32">
        <v>4.7E-2</v>
      </c>
      <c r="E32">
        <v>4.07E-2</v>
      </c>
      <c r="F32">
        <v>4.3799999999999999E-2</v>
      </c>
      <c r="G32">
        <v>4.7399999999999998E-2</v>
      </c>
      <c r="H32">
        <v>4.7699999999999999E-2</v>
      </c>
      <c r="I32">
        <v>5.33E-2</v>
      </c>
    </row>
    <row r="33" spans="1:9" x14ac:dyDescent="0.3">
      <c r="A33" t="s">
        <v>51</v>
      </c>
      <c r="B33">
        <v>7.0800000000000002E-2</v>
      </c>
      <c r="C33">
        <v>7.7700000000000005E-2</v>
      </c>
      <c r="D33">
        <v>8.1100000000000005E-2</v>
      </c>
      <c r="E33">
        <v>8.2100000000000006E-2</v>
      </c>
      <c r="F33">
        <v>8.5800000000000001E-2</v>
      </c>
      <c r="G33">
        <v>9.4700000000000006E-2</v>
      </c>
      <c r="H33">
        <v>0.25240000000000001</v>
      </c>
      <c r="I33">
        <v>0.14560000000000001</v>
      </c>
    </row>
    <row r="34" spans="1:9" x14ac:dyDescent="0.3">
      <c r="A34" t="s">
        <v>52</v>
      </c>
      <c r="B34">
        <v>7.17E-2</v>
      </c>
      <c r="C34">
        <v>8.4199999999999997E-2</v>
      </c>
      <c r="D34">
        <v>8.0500000000000002E-2</v>
      </c>
      <c r="E34">
        <v>4.9299999999999997E-2</v>
      </c>
      <c r="F34">
        <v>0.10050000000000001</v>
      </c>
      <c r="G34">
        <v>0.1764</v>
      </c>
      <c r="H34">
        <v>0.1007</v>
      </c>
      <c r="I34">
        <v>8.0600000000000005E-2</v>
      </c>
    </row>
    <row r="35" spans="1:9" x14ac:dyDescent="0.3">
      <c r="A35" t="s">
        <v>53</v>
      </c>
      <c r="B35">
        <v>0.12670000000000001</v>
      </c>
      <c r="C35">
        <v>0.13819999999999999</v>
      </c>
      <c r="D35">
        <v>0.1469</v>
      </c>
      <c r="E35">
        <v>0.16363200000000003</v>
      </c>
      <c r="F35">
        <v>0.18861600000000001</v>
      </c>
      <c r="G35">
        <v>0.271791</v>
      </c>
      <c r="H35">
        <v>0.33119999999999999</v>
      </c>
      <c r="I35">
        <v>0.307508</v>
      </c>
    </row>
    <row r="36" spans="1:9" x14ac:dyDescent="0.3">
      <c r="A36" t="s">
        <v>55</v>
      </c>
      <c r="B36">
        <v>8.9399999999999993E-2</v>
      </c>
      <c r="C36">
        <v>8.3500000000000005E-2</v>
      </c>
      <c r="D36">
        <v>8.1900000000000001E-2</v>
      </c>
      <c r="E36">
        <v>8.6900000000000005E-2</v>
      </c>
      <c r="F36">
        <v>8.2600000000000007E-2</v>
      </c>
      <c r="G36">
        <v>8.4500000000000006E-2</v>
      </c>
      <c r="H36">
        <v>7.6100000000000001E-2</v>
      </c>
      <c r="I36">
        <v>0.105</v>
      </c>
    </row>
    <row r="37" spans="1:9" x14ac:dyDescent="0.3">
      <c r="A37" t="s">
        <v>56</v>
      </c>
      <c r="B37">
        <v>3.7999999999999999E-2</v>
      </c>
      <c r="C37">
        <v>4.02E-2</v>
      </c>
      <c r="D37">
        <v>4.1799999999999997E-2</v>
      </c>
      <c r="E37">
        <v>4.2700000000000002E-2</v>
      </c>
      <c r="F37">
        <v>4.2900000000000001E-2</v>
      </c>
      <c r="G37">
        <v>4.2799999999999998E-2</v>
      </c>
      <c r="H37">
        <v>4.2700000000000002E-2</v>
      </c>
      <c r="I37">
        <v>4.2500000000000003E-2</v>
      </c>
    </row>
    <row r="38" spans="1:9" x14ac:dyDescent="0.3">
      <c r="A38" t="s">
        <v>57</v>
      </c>
      <c r="B38">
        <v>6.6799999999999998E-2</v>
      </c>
      <c r="C38">
        <v>6.3E-2</v>
      </c>
      <c r="D38">
        <v>6.2E-2</v>
      </c>
      <c r="E38">
        <v>6.2700000000000006E-2</v>
      </c>
      <c r="F38">
        <v>5.4899999999999997E-2</v>
      </c>
      <c r="G38">
        <v>0.10249999999999999</v>
      </c>
      <c r="H38">
        <v>0.1168</v>
      </c>
      <c r="I38">
        <v>8.6999999999999994E-2</v>
      </c>
    </row>
    <row r="39" spans="1:9" x14ac:dyDescent="0.3">
      <c r="A39" t="s">
        <v>58</v>
      </c>
      <c r="B39">
        <v>5.1700000000000003E-2</v>
      </c>
      <c r="C39">
        <v>5.0200000000000002E-2</v>
      </c>
      <c r="D39">
        <v>4.7199999999999999E-2</v>
      </c>
      <c r="E39">
        <v>4.9099999999999998E-2</v>
      </c>
      <c r="F39">
        <v>6.0400000000000002E-2</v>
      </c>
      <c r="G39">
        <v>5.2999999999999999E-2</v>
      </c>
      <c r="H39">
        <v>5.4699999999999999E-2</v>
      </c>
      <c r="I39">
        <v>0.14360000000000001</v>
      </c>
    </row>
    <row r="40" spans="1:9" x14ac:dyDescent="0.3">
      <c r="A40" t="s">
        <v>59</v>
      </c>
      <c r="B40" t="s">
        <v>54</v>
      </c>
      <c r="C40">
        <v>1.9599999999999999E-2</v>
      </c>
      <c r="D40">
        <v>3.6200000000000003E-2</v>
      </c>
      <c r="E40">
        <v>3.2899999999999999E-2</v>
      </c>
      <c r="F40">
        <v>4.02E-2</v>
      </c>
      <c r="G40">
        <v>5.5100000000000003E-2</v>
      </c>
      <c r="H40">
        <v>5.28E-2</v>
      </c>
      <c r="I40">
        <v>1.23E-2</v>
      </c>
    </row>
    <row r="41" spans="1:9" x14ac:dyDescent="0.3">
      <c r="A41" t="s">
        <v>61</v>
      </c>
      <c r="B41">
        <v>7.1300000000000002E-2</v>
      </c>
      <c r="C41">
        <v>7.5899999999999995E-2</v>
      </c>
      <c r="D41">
        <v>7.7799999999999994E-2</v>
      </c>
      <c r="E41" t="s">
        <v>54</v>
      </c>
      <c r="F41" t="s">
        <v>54</v>
      </c>
      <c r="G41">
        <v>1.9099999999999999E-2</v>
      </c>
      <c r="H41">
        <v>2.1299999999999999E-2</v>
      </c>
      <c r="I41">
        <v>2.2499999999999999E-2</v>
      </c>
    </row>
    <row r="42" spans="1:9" x14ac:dyDescent="0.3">
      <c r="A42" t="s">
        <v>63</v>
      </c>
      <c r="B42">
        <v>6.1199999999999997E-2</v>
      </c>
      <c r="C42">
        <v>6.5299999999999997E-2</v>
      </c>
      <c r="D42">
        <v>6.9599999999999995E-2</v>
      </c>
      <c r="E42">
        <v>6.7500000000000004E-2</v>
      </c>
      <c r="F42">
        <v>6.3500000000000001E-2</v>
      </c>
      <c r="G42">
        <v>6.8599999999999994E-2</v>
      </c>
      <c r="H42">
        <v>8.5599999999999996E-2</v>
      </c>
      <c r="I42">
        <v>8.7900000000000006E-2</v>
      </c>
    </row>
    <row r="43" spans="1:9" x14ac:dyDescent="0.3">
      <c r="A43" t="s">
        <v>64</v>
      </c>
      <c r="B43">
        <v>5.0099999999999999E-2</v>
      </c>
      <c r="C43">
        <v>4.24E-2</v>
      </c>
      <c r="D43">
        <v>4.8300000000000003E-2</v>
      </c>
      <c r="E43">
        <v>4.0300000000000002E-2</v>
      </c>
      <c r="F43">
        <v>3.8300000000000001E-2</v>
      </c>
      <c r="G43">
        <v>5.2200000000000003E-2</v>
      </c>
      <c r="H43">
        <v>2.1499999999999998E-2</v>
      </c>
      <c r="I43">
        <v>1.41E-2</v>
      </c>
    </row>
    <row r="44" spans="1:9" x14ac:dyDescent="0.3">
      <c r="A44" t="s">
        <v>66</v>
      </c>
      <c r="B44">
        <v>5.0799999999999998E-2</v>
      </c>
      <c r="C44">
        <v>5.1900000000000002E-2</v>
      </c>
      <c r="D44">
        <v>3.5400000000000001E-2</v>
      </c>
      <c r="E44">
        <v>4.0599999999999997E-2</v>
      </c>
      <c r="F44">
        <v>4.2700000000000002E-2</v>
      </c>
      <c r="G44">
        <v>3.2300000000000002E-2</v>
      </c>
      <c r="H44">
        <v>4.3799999999999999E-2</v>
      </c>
      <c r="I44">
        <v>7.3499999999999996E-2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73D0-BCE0-469D-9D2B-6C809CD41283}">
  <dimension ref="A1:I43"/>
  <sheetViews>
    <sheetView workbookViewId="0">
      <selection activeCell="I2" sqref="I2:I43"/>
    </sheetView>
  </sheetViews>
  <sheetFormatPr defaultRowHeight="14.4" x14ac:dyDescent="0.3"/>
  <cols>
    <col min="1" max="1" width="15.44140625" customWidth="1"/>
  </cols>
  <sheetData>
    <row r="1" spans="1:9" x14ac:dyDescent="0.3">
      <c r="A1" s="17" t="s">
        <v>84</v>
      </c>
      <c r="B1" s="18" t="s">
        <v>10</v>
      </c>
      <c r="C1" s="18" t="s">
        <v>12</v>
      </c>
      <c r="D1" s="18" t="s">
        <v>13</v>
      </c>
      <c r="E1" s="18" t="s">
        <v>14</v>
      </c>
      <c r="F1" s="18" t="s">
        <v>15</v>
      </c>
      <c r="G1" s="18" t="s">
        <v>16</v>
      </c>
      <c r="H1" s="18" t="s">
        <v>17</v>
      </c>
      <c r="I1" s="19" t="s">
        <v>18</v>
      </c>
    </row>
    <row r="2" spans="1:9" x14ac:dyDescent="0.3">
      <c r="A2" s="20" t="s">
        <v>20</v>
      </c>
      <c r="B2" s="21">
        <v>0.12659999999999999</v>
      </c>
      <c r="C2" s="21">
        <v>0.13519999999999999</v>
      </c>
      <c r="D2" s="21">
        <v>0.1091</v>
      </c>
      <c r="E2" s="21">
        <v>0.1168</v>
      </c>
      <c r="F2" s="21">
        <v>0.13059999999999999</v>
      </c>
      <c r="G2" s="21">
        <v>0.19750000000000001</v>
      </c>
      <c r="H2" s="21">
        <v>0.21579999999999999</v>
      </c>
      <c r="I2" s="22">
        <v>0.1953</v>
      </c>
    </row>
    <row r="3" spans="1:9" x14ac:dyDescent="0.3">
      <c r="A3" s="17" t="s">
        <v>21</v>
      </c>
      <c r="B3" s="18">
        <v>0.14419999999999999</v>
      </c>
      <c r="C3" s="18">
        <v>0.15379999999999999</v>
      </c>
      <c r="D3" s="18">
        <v>0.12</v>
      </c>
      <c r="E3" s="18">
        <v>0.13059999999999999</v>
      </c>
      <c r="F3" s="18">
        <v>0.1386</v>
      </c>
      <c r="G3" s="18">
        <v>0.21579999999999999</v>
      </c>
      <c r="H3" s="18">
        <v>0.2379</v>
      </c>
      <c r="I3" s="19">
        <v>0.21560000000000001</v>
      </c>
    </row>
    <row r="4" spans="1:9" x14ac:dyDescent="0.3">
      <c r="A4" s="20" t="s">
        <v>22</v>
      </c>
      <c r="B4" s="21">
        <v>0.13350000000000001</v>
      </c>
      <c r="C4" s="21">
        <v>0.14119999999999999</v>
      </c>
      <c r="D4" s="21">
        <v>0.16470000000000001</v>
      </c>
      <c r="E4" s="21">
        <v>0.1434</v>
      </c>
      <c r="F4" s="21">
        <v>0.1288</v>
      </c>
      <c r="G4" s="21">
        <v>0.30259999999999998</v>
      </c>
      <c r="H4" s="21">
        <v>0.2495</v>
      </c>
      <c r="I4" s="22">
        <v>0.19600000000000001</v>
      </c>
    </row>
    <row r="5" spans="1:9" x14ac:dyDescent="0.3">
      <c r="A5" s="17" t="s">
        <v>23</v>
      </c>
      <c r="B5" s="18">
        <v>5.9499999999999997E-2</v>
      </c>
      <c r="C5" s="18">
        <v>0.06</v>
      </c>
      <c r="D5" s="18">
        <v>5.9499999999999997E-2</v>
      </c>
      <c r="E5" s="18">
        <v>6.0600000000000001E-2</v>
      </c>
      <c r="F5" s="18">
        <v>6.4000000000000001E-2</v>
      </c>
      <c r="G5" s="18">
        <v>5.7700000000000001E-2</v>
      </c>
      <c r="H5" s="18">
        <v>5.62E-2</v>
      </c>
      <c r="I5" s="19">
        <v>6.9099999999999995E-2</v>
      </c>
    </row>
    <row r="6" spans="1:9" x14ac:dyDescent="0.3">
      <c r="A6" s="20" t="s">
        <v>24</v>
      </c>
      <c r="B6" s="21">
        <v>0.1094</v>
      </c>
      <c r="C6" s="21">
        <v>0.1128</v>
      </c>
      <c r="D6" s="21">
        <v>0.13170000000000001</v>
      </c>
      <c r="E6" s="21">
        <v>0.13589999999999999</v>
      </c>
      <c r="F6" s="21">
        <v>0.17100000000000001</v>
      </c>
      <c r="G6" s="21">
        <v>0.2024</v>
      </c>
      <c r="H6" s="21">
        <v>0.28670000000000001</v>
      </c>
      <c r="I6" s="22">
        <v>0.25940000000000002</v>
      </c>
    </row>
    <row r="7" spans="1:9" x14ac:dyDescent="0.3">
      <c r="A7" s="17" t="s">
        <v>25</v>
      </c>
      <c r="B7" s="18">
        <v>3.8800000000000001E-2</v>
      </c>
      <c r="C7" s="18">
        <v>5.0299999999999997E-2</v>
      </c>
      <c r="D7" s="18">
        <v>5.3900000000000003E-2</v>
      </c>
      <c r="E7" s="18">
        <v>4.0899999999999999E-2</v>
      </c>
      <c r="F7" s="18">
        <v>7.4700000000000003E-2</v>
      </c>
      <c r="G7" s="18">
        <v>0.24340000000000001</v>
      </c>
      <c r="H7" s="18">
        <v>0.16450000000000001</v>
      </c>
      <c r="I7" s="19">
        <v>0.1082</v>
      </c>
    </row>
    <row r="8" spans="1:9" x14ac:dyDescent="0.3">
      <c r="A8" s="20" t="s">
        <v>26</v>
      </c>
      <c r="B8" s="21">
        <v>0.12609999999999999</v>
      </c>
      <c r="C8" s="21">
        <v>0.12670000000000001</v>
      </c>
      <c r="D8" s="21">
        <v>9.2499999999999999E-2</v>
      </c>
      <c r="E8" s="21">
        <v>0.12130000000000001</v>
      </c>
      <c r="F8" s="21">
        <v>0.121</v>
      </c>
      <c r="G8" s="21">
        <v>0.18459999999999999</v>
      </c>
      <c r="H8" s="21">
        <v>0.25159999999999999</v>
      </c>
      <c r="I8" s="22">
        <v>0.21529999999999999</v>
      </c>
    </row>
    <row r="9" spans="1:9" x14ac:dyDescent="0.3">
      <c r="A9" s="17" t="s">
        <v>27</v>
      </c>
      <c r="B9" s="18">
        <v>4.2999999999999997E-2</v>
      </c>
      <c r="C9" s="18">
        <v>5.3100000000000001E-2</v>
      </c>
      <c r="D9" s="18">
        <v>5.7500000000000002E-2</v>
      </c>
      <c r="E9" s="18">
        <v>5.3100000000000001E-2</v>
      </c>
      <c r="F9" s="18">
        <v>8.2699999999999996E-2</v>
      </c>
      <c r="G9" s="18">
        <v>0.1391</v>
      </c>
      <c r="H9" s="18">
        <v>0.1444</v>
      </c>
      <c r="I9" s="19">
        <v>0.13969999999999999</v>
      </c>
    </row>
    <row r="10" spans="1:9" x14ac:dyDescent="0.3">
      <c r="A10" s="20" t="s">
        <v>28</v>
      </c>
      <c r="B10" s="21">
        <v>0.16250000000000001</v>
      </c>
      <c r="C10" s="21">
        <v>0.14960000000000001</v>
      </c>
      <c r="D10" s="21">
        <v>0.16589999999999999</v>
      </c>
      <c r="E10" s="21">
        <v>0.1137</v>
      </c>
      <c r="F10" s="21">
        <v>0.15809999999999999</v>
      </c>
      <c r="G10" s="21">
        <v>0.28399999999999997</v>
      </c>
      <c r="H10" s="21">
        <v>0.42259999999999998</v>
      </c>
      <c r="I10" s="22">
        <v>0.32169999999999999</v>
      </c>
    </row>
    <row r="11" spans="1:9" x14ac:dyDescent="0.3">
      <c r="A11" s="17" t="s">
        <v>29</v>
      </c>
      <c r="B11" s="18">
        <v>9.9000000000000005E-2</v>
      </c>
      <c r="C11" s="18">
        <v>0.1153</v>
      </c>
      <c r="D11" s="18">
        <v>0.1206</v>
      </c>
      <c r="E11" s="18">
        <v>0.1308</v>
      </c>
      <c r="F11" s="18">
        <v>0.1542</v>
      </c>
      <c r="G11" s="18">
        <v>0.38490000000000002</v>
      </c>
      <c r="H11" s="18">
        <v>0.3231</v>
      </c>
      <c r="I11" s="19">
        <v>0.26879999999999998</v>
      </c>
    </row>
    <row r="12" spans="1:9" x14ac:dyDescent="0.3">
      <c r="A12" s="20" t="s">
        <v>30</v>
      </c>
      <c r="B12" s="21">
        <v>0.30940000000000001</v>
      </c>
      <c r="C12" s="21">
        <v>0.33119999999999999</v>
      </c>
      <c r="D12" s="21">
        <v>0.15210000000000001</v>
      </c>
      <c r="E12" s="21">
        <v>0.14299999999999999</v>
      </c>
      <c r="F12" s="21">
        <v>0.16470000000000001</v>
      </c>
      <c r="G12" s="21">
        <v>0.2329</v>
      </c>
      <c r="H12" s="21">
        <v>0.18260000000000001</v>
      </c>
      <c r="I12" s="22">
        <v>0.16600000000000001</v>
      </c>
    </row>
    <row r="13" spans="1:9" x14ac:dyDescent="0.3">
      <c r="A13" s="17" t="s">
        <v>32</v>
      </c>
      <c r="B13" s="18">
        <v>0.1195</v>
      </c>
      <c r="C13" s="18">
        <v>0.1326</v>
      </c>
      <c r="D13" s="18">
        <v>0.11269999999999999</v>
      </c>
      <c r="E13" s="18">
        <v>0.12859999999999999</v>
      </c>
      <c r="F13" s="18">
        <v>0.1242</v>
      </c>
      <c r="G13" s="18">
        <v>0.16400000000000001</v>
      </c>
      <c r="H13" s="18">
        <v>0.19450000000000001</v>
      </c>
      <c r="I13" s="19">
        <v>0.20569999999999999</v>
      </c>
    </row>
    <row r="14" spans="1:9" x14ac:dyDescent="0.3">
      <c r="A14" s="20" t="s">
        <v>33</v>
      </c>
      <c r="B14" s="21">
        <v>8.2100000000000006E-2</v>
      </c>
      <c r="C14" s="21">
        <v>8.5099999999999995E-2</v>
      </c>
      <c r="D14" s="21">
        <v>8.4199999999999997E-2</v>
      </c>
      <c r="E14" s="21">
        <v>8.2299999999999998E-2</v>
      </c>
      <c r="F14" s="21">
        <v>7.7499999999999999E-2</v>
      </c>
      <c r="G14" s="21">
        <v>9.3700000000000006E-2</v>
      </c>
      <c r="H14" s="21">
        <v>0.1028</v>
      </c>
      <c r="I14" s="22">
        <v>0.1024</v>
      </c>
    </row>
    <row r="15" spans="1:9" x14ac:dyDescent="0.3">
      <c r="A15" s="17" t="s">
        <v>34</v>
      </c>
      <c r="B15" s="18">
        <v>0.13780000000000001</v>
      </c>
      <c r="C15" s="18">
        <v>0.1434</v>
      </c>
      <c r="D15" s="18">
        <v>0.15479999999999999</v>
      </c>
      <c r="E15" s="18">
        <v>0.16089999999999999</v>
      </c>
      <c r="F15" s="18">
        <v>0.18629999999999999</v>
      </c>
      <c r="G15" s="18">
        <v>0.33239999999999997</v>
      </c>
      <c r="H15" s="18">
        <v>0.31240000000000001</v>
      </c>
      <c r="I15" s="19">
        <v>0.27579999999999999</v>
      </c>
    </row>
    <row r="16" spans="1:9" x14ac:dyDescent="0.3">
      <c r="A16" s="20" t="s">
        <v>35</v>
      </c>
      <c r="B16" s="21">
        <v>0.1527</v>
      </c>
      <c r="C16" s="21">
        <v>0.2082</v>
      </c>
      <c r="D16" s="21">
        <v>0.19900000000000001</v>
      </c>
      <c r="E16" s="21">
        <v>0.18149999999999999</v>
      </c>
      <c r="F16" s="21">
        <v>0.1918</v>
      </c>
      <c r="G16" s="21">
        <v>0.25430000000000003</v>
      </c>
      <c r="H16" s="21">
        <v>0.29530000000000001</v>
      </c>
      <c r="I16" s="22">
        <v>0.28179999999999999</v>
      </c>
    </row>
    <row r="17" spans="1:9" x14ac:dyDescent="0.3">
      <c r="A17" s="17" t="s">
        <v>36</v>
      </c>
      <c r="B17" s="18">
        <v>4.87E-2</v>
      </c>
      <c r="C17" s="18">
        <v>4.9500000000000002E-2</v>
      </c>
      <c r="D17" s="18">
        <v>6.1600000000000002E-2</v>
      </c>
      <c r="E17" s="18">
        <v>5.8000000000000003E-2</v>
      </c>
      <c r="F17" s="18">
        <v>7.51E-2</v>
      </c>
      <c r="G17" s="18">
        <v>0.16089999999999999</v>
      </c>
      <c r="H17" s="18">
        <v>0.2056</v>
      </c>
      <c r="I17" s="19">
        <v>0.13900000000000001</v>
      </c>
    </row>
    <row r="18" spans="1:9" x14ac:dyDescent="0.3">
      <c r="A18" s="20" t="s">
        <v>37</v>
      </c>
      <c r="B18" s="21">
        <v>3.8199999999999998E-2</v>
      </c>
      <c r="C18" s="21">
        <v>3.5000000000000003E-2</v>
      </c>
      <c r="D18" s="21">
        <v>4.9099999999999998E-2</v>
      </c>
      <c r="E18" s="21">
        <v>5.0299999999999997E-2</v>
      </c>
      <c r="F18" s="21">
        <v>6.1899999999999997E-2</v>
      </c>
      <c r="G18" s="21">
        <v>0.1396</v>
      </c>
      <c r="H18" s="21">
        <v>0.1704</v>
      </c>
      <c r="I18" s="22">
        <v>0.1232</v>
      </c>
    </row>
    <row r="19" spans="1:9" x14ac:dyDescent="0.3">
      <c r="A19" s="17" t="s">
        <v>38</v>
      </c>
      <c r="B19" s="18">
        <v>6.7199999999999996E-2</v>
      </c>
      <c r="C19" s="18">
        <v>7.0800000000000002E-2</v>
      </c>
      <c r="D19" s="18">
        <v>7.6100000000000001E-2</v>
      </c>
      <c r="E19" s="18">
        <v>8.2100000000000006E-2</v>
      </c>
      <c r="F19" s="18">
        <v>8.2400000000000001E-2</v>
      </c>
      <c r="G19" s="18">
        <v>0.1041</v>
      </c>
      <c r="H19" s="18">
        <v>0.18559999999999999</v>
      </c>
      <c r="I19" s="19">
        <v>0.2046</v>
      </c>
    </row>
    <row r="20" spans="1:9" x14ac:dyDescent="0.3">
      <c r="A20" s="20" t="s">
        <v>39</v>
      </c>
      <c r="B20" s="21">
        <v>4.7199999999999999E-2</v>
      </c>
      <c r="C20" s="21">
        <v>4.5400000000000003E-2</v>
      </c>
      <c r="D20" s="21">
        <v>4.2900000000000001E-2</v>
      </c>
      <c r="E20" s="21">
        <v>3.44E-2</v>
      </c>
      <c r="F20" s="21">
        <v>3.1099999999999999E-2</v>
      </c>
      <c r="G20" s="21">
        <v>1.84E-2</v>
      </c>
      <c r="H20" s="21">
        <v>2.2000000000000001E-3</v>
      </c>
      <c r="I20" s="22">
        <v>1.6E-2</v>
      </c>
    </row>
    <row r="21" spans="1:9" x14ac:dyDescent="0.3">
      <c r="A21" s="17" t="s">
        <v>40</v>
      </c>
      <c r="B21" s="18">
        <v>0.34300000000000003</v>
      </c>
      <c r="C21" s="18">
        <v>0.3261</v>
      </c>
      <c r="D21" s="18">
        <v>0.32040000000000002</v>
      </c>
      <c r="E21" s="18">
        <v>0.31830000000000003</v>
      </c>
      <c r="F21" s="18">
        <v>0.32850000000000001</v>
      </c>
      <c r="G21" s="18">
        <v>0.3392</v>
      </c>
      <c r="H21" s="18">
        <v>0.30759999999999998</v>
      </c>
      <c r="I21" s="19">
        <v>0.28999999999999998</v>
      </c>
    </row>
    <row r="22" spans="1:9" x14ac:dyDescent="0.3">
      <c r="A22" s="20" t="s">
        <v>41</v>
      </c>
      <c r="B22" s="21">
        <v>0.114</v>
      </c>
      <c r="C22" s="21">
        <v>0.12</v>
      </c>
      <c r="D22" s="21">
        <v>0.14000000000000001</v>
      </c>
      <c r="E22" s="21">
        <v>0.14810000000000001</v>
      </c>
      <c r="F22" s="21">
        <v>0.15040000000000001</v>
      </c>
      <c r="G22" s="21">
        <v>0.28160000000000002</v>
      </c>
      <c r="H22" s="21">
        <v>0.35339999999999999</v>
      </c>
      <c r="I22" s="22">
        <v>0.29139999999999999</v>
      </c>
    </row>
    <row r="23" spans="1:9" x14ac:dyDescent="0.3">
      <c r="A23" s="17" t="s">
        <v>42</v>
      </c>
      <c r="B23" s="18">
        <v>0.08</v>
      </c>
      <c r="C23" s="18">
        <v>8.3199999999999996E-2</v>
      </c>
      <c r="D23" s="18">
        <v>9.11E-2</v>
      </c>
      <c r="E23" s="18">
        <v>9.8900000000000002E-2</v>
      </c>
      <c r="F23" s="18">
        <v>0.10050000000000001</v>
      </c>
      <c r="G23" s="18">
        <v>0.15210000000000001</v>
      </c>
      <c r="H23" s="18">
        <v>0.25869999999999999</v>
      </c>
      <c r="I23" s="19">
        <v>0.24360000000000001</v>
      </c>
    </row>
    <row r="24" spans="1:9" x14ac:dyDescent="0.3">
      <c r="A24" s="20" t="s">
        <v>43</v>
      </c>
      <c r="B24" s="21">
        <v>5.2699999999999997E-2</v>
      </c>
      <c r="C24" s="21">
        <v>5.1299999999999998E-2</v>
      </c>
      <c r="D24" s="21">
        <v>5.04E-2</v>
      </c>
      <c r="E24" s="21">
        <v>5.8999999999999997E-2</v>
      </c>
      <c r="F24" s="21">
        <v>5.7099999999999998E-2</v>
      </c>
      <c r="G24" s="21">
        <v>6.4899999999999999E-2</v>
      </c>
      <c r="H24" s="21">
        <v>5.8599999999999999E-2</v>
      </c>
      <c r="I24" s="22">
        <v>5.3600000000000002E-2</v>
      </c>
    </row>
    <row r="25" spans="1:9" x14ac:dyDescent="0.3">
      <c r="A25" s="17" t="s">
        <v>44</v>
      </c>
      <c r="B25" s="18">
        <v>7.7600000000000002E-2</v>
      </c>
      <c r="C25" s="18">
        <v>6.2E-2</v>
      </c>
      <c r="D25" s="18">
        <v>0.1096</v>
      </c>
      <c r="E25" s="18">
        <v>0.1178</v>
      </c>
      <c r="F25" s="18">
        <v>0.14230000000000001</v>
      </c>
      <c r="G25" s="18">
        <v>0.23630000000000001</v>
      </c>
      <c r="H25" s="18">
        <v>0.2903</v>
      </c>
      <c r="I25" s="19">
        <v>0.22259999999999999</v>
      </c>
    </row>
    <row r="26" spans="1:9" x14ac:dyDescent="0.3">
      <c r="A26" s="20" t="s">
        <v>45</v>
      </c>
      <c r="B26" s="21">
        <v>4.9200000000000001E-2</v>
      </c>
      <c r="C26" s="21">
        <v>5.5800000000000002E-2</v>
      </c>
      <c r="D26" s="21">
        <v>5.8099999999999999E-2</v>
      </c>
      <c r="E26" s="21">
        <v>6.2E-2</v>
      </c>
      <c r="F26" s="21">
        <v>7.4099999999999999E-2</v>
      </c>
      <c r="G26" s="21">
        <v>0.1739</v>
      </c>
      <c r="H26" s="21">
        <v>5.74E-2</v>
      </c>
      <c r="I26" s="22">
        <v>5.1799999999999999E-2</v>
      </c>
    </row>
    <row r="27" spans="1:9" x14ac:dyDescent="0.3">
      <c r="A27" s="17" t="s">
        <v>46</v>
      </c>
      <c r="B27" s="18">
        <v>5.6000000000000001E-2</v>
      </c>
      <c r="C27" s="18">
        <v>5.8900000000000001E-2</v>
      </c>
      <c r="D27" s="18">
        <v>6.1699999999999998E-2</v>
      </c>
      <c r="E27" s="18">
        <v>7.0499999999999993E-2</v>
      </c>
      <c r="F27" s="18">
        <v>7.4399999999999994E-2</v>
      </c>
      <c r="G27" s="18">
        <v>9.1999999999999998E-2</v>
      </c>
      <c r="H27" s="18">
        <v>0.1042</v>
      </c>
      <c r="I27" s="19">
        <v>0.1022</v>
      </c>
    </row>
    <row r="28" spans="1:9" x14ac:dyDescent="0.3">
      <c r="A28" s="20" t="s">
        <v>47</v>
      </c>
      <c r="B28" s="21">
        <v>5.3800000000000001E-2</v>
      </c>
      <c r="C28" s="21">
        <v>5.9700000000000003E-2</v>
      </c>
      <c r="D28" s="21">
        <v>7.0400000000000004E-2</v>
      </c>
      <c r="E28" s="21">
        <v>8.1799999999999998E-2</v>
      </c>
      <c r="F28" s="21">
        <v>7.6200000000000004E-2</v>
      </c>
      <c r="G28" s="21">
        <v>0.10150000000000001</v>
      </c>
      <c r="H28" s="21">
        <v>0.12230000000000001</v>
      </c>
      <c r="I28" s="22">
        <v>0.115</v>
      </c>
    </row>
    <row r="29" spans="1:9" x14ac:dyDescent="0.3">
      <c r="A29" s="17" t="s">
        <v>48</v>
      </c>
      <c r="B29" s="18">
        <v>8.8700000000000001E-2</v>
      </c>
      <c r="C29" s="18">
        <v>9.1700000000000004E-2</v>
      </c>
      <c r="D29" s="18">
        <v>9.7100000000000006E-2</v>
      </c>
      <c r="E29" s="18">
        <v>8.7999999999999995E-2</v>
      </c>
      <c r="F29" s="18">
        <v>8.5199999999999998E-2</v>
      </c>
      <c r="G29" s="18">
        <v>0.13239999999999999</v>
      </c>
      <c r="H29" s="18">
        <v>0.13</v>
      </c>
      <c r="I29" s="19">
        <v>0.1077</v>
      </c>
    </row>
    <row r="30" spans="1:9" x14ac:dyDescent="0.3">
      <c r="A30" s="20" t="s">
        <v>49</v>
      </c>
      <c r="B30" s="21">
        <v>5.2600000000000001E-2</v>
      </c>
      <c r="C30" s="21">
        <v>6.2E-2</v>
      </c>
      <c r="D30" s="21">
        <v>6.7699999999999996E-2</v>
      </c>
      <c r="E30" s="21">
        <v>5.1999999999999998E-2</v>
      </c>
      <c r="F30" s="21">
        <v>9.7900000000000001E-2</v>
      </c>
      <c r="G30" s="21">
        <v>0.15390000000000001</v>
      </c>
      <c r="H30" s="21">
        <v>0.1017</v>
      </c>
      <c r="I30" s="22">
        <v>8.4099999999999994E-2</v>
      </c>
    </row>
    <row r="31" spans="1:9" x14ac:dyDescent="0.3">
      <c r="A31" s="17" t="s">
        <v>50</v>
      </c>
      <c r="B31" s="18">
        <v>4.8899999999999999E-2</v>
      </c>
      <c r="C31" s="18">
        <v>4.8399999999999999E-2</v>
      </c>
      <c r="D31" s="18">
        <v>4.7E-2</v>
      </c>
      <c r="E31" s="18">
        <v>4.07E-2</v>
      </c>
      <c r="F31" s="18">
        <v>4.3799999999999999E-2</v>
      </c>
      <c r="G31" s="18">
        <v>4.7399999999999998E-2</v>
      </c>
      <c r="H31" s="18">
        <v>4.7699999999999999E-2</v>
      </c>
      <c r="I31" s="19">
        <v>5.33E-2</v>
      </c>
    </row>
    <row r="32" spans="1:9" x14ac:dyDescent="0.3">
      <c r="A32" s="20" t="s">
        <v>51</v>
      </c>
      <c r="B32" s="21">
        <v>7.0800000000000002E-2</v>
      </c>
      <c r="C32" s="21">
        <v>7.7700000000000005E-2</v>
      </c>
      <c r="D32" s="21">
        <v>8.1100000000000005E-2</v>
      </c>
      <c r="E32" s="21">
        <v>8.2100000000000006E-2</v>
      </c>
      <c r="F32" s="21">
        <v>8.5800000000000001E-2</v>
      </c>
      <c r="G32" s="21">
        <v>9.4700000000000006E-2</v>
      </c>
      <c r="H32" s="21">
        <v>0.25240000000000001</v>
      </c>
      <c r="I32" s="22">
        <v>0.14560000000000001</v>
      </c>
    </row>
    <row r="33" spans="1:9" x14ac:dyDescent="0.3">
      <c r="A33" s="17" t="s">
        <v>52</v>
      </c>
      <c r="B33" s="18">
        <v>7.17E-2</v>
      </c>
      <c r="C33" s="18">
        <v>8.4199999999999997E-2</v>
      </c>
      <c r="D33" s="18">
        <v>8.0500000000000002E-2</v>
      </c>
      <c r="E33" s="18">
        <v>4.9299999999999997E-2</v>
      </c>
      <c r="F33" s="18">
        <v>0.10050000000000001</v>
      </c>
      <c r="G33" s="18">
        <v>0.1764</v>
      </c>
      <c r="H33" s="18">
        <v>0.1007</v>
      </c>
      <c r="I33" s="19">
        <v>8.0600000000000005E-2</v>
      </c>
    </row>
    <row r="34" spans="1:9" x14ac:dyDescent="0.3">
      <c r="A34" s="20" t="s">
        <v>53</v>
      </c>
      <c r="B34" s="21">
        <v>0.12670000000000001</v>
      </c>
      <c r="C34" s="21">
        <v>0.13819999999999999</v>
      </c>
      <c r="D34" s="21">
        <v>0.1469</v>
      </c>
      <c r="E34" s="21">
        <v>0.16363200000000003</v>
      </c>
      <c r="F34" s="21">
        <v>0.18861600000000001</v>
      </c>
      <c r="G34" s="21">
        <v>0.271791</v>
      </c>
      <c r="H34" s="21">
        <v>0.33119999999999999</v>
      </c>
      <c r="I34" s="22">
        <v>0.307508</v>
      </c>
    </row>
    <row r="35" spans="1:9" x14ac:dyDescent="0.3">
      <c r="A35" s="17" t="s">
        <v>55</v>
      </c>
      <c r="B35" s="18">
        <v>8.9399999999999993E-2</v>
      </c>
      <c r="C35" s="18">
        <v>8.3500000000000005E-2</v>
      </c>
      <c r="D35" s="18">
        <v>8.1900000000000001E-2</v>
      </c>
      <c r="E35" s="18">
        <v>8.6900000000000005E-2</v>
      </c>
      <c r="F35" s="18">
        <v>8.2600000000000007E-2</v>
      </c>
      <c r="G35" s="18">
        <v>8.4500000000000006E-2</v>
      </c>
      <c r="H35" s="18">
        <v>7.6100000000000001E-2</v>
      </c>
      <c r="I35" s="19">
        <v>0.105</v>
      </c>
    </row>
    <row r="36" spans="1:9" x14ac:dyDescent="0.3">
      <c r="A36" s="20" t="s">
        <v>56</v>
      </c>
      <c r="B36" s="21">
        <v>3.7999999999999999E-2</v>
      </c>
      <c r="C36" s="21">
        <v>4.02E-2</v>
      </c>
      <c r="D36" s="21">
        <v>4.1799999999999997E-2</v>
      </c>
      <c r="E36" s="21">
        <v>4.2700000000000002E-2</v>
      </c>
      <c r="F36" s="21">
        <v>4.2900000000000001E-2</v>
      </c>
      <c r="G36" s="21">
        <v>4.2799999999999998E-2</v>
      </c>
      <c r="H36" s="21">
        <v>4.2700000000000002E-2</v>
      </c>
      <c r="I36" s="22">
        <v>4.2500000000000003E-2</v>
      </c>
    </row>
    <row r="37" spans="1:9" x14ac:dyDescent="0.3">
      <c r="A37" s="17" t="s">
        <v>57</v>
      </c>
      <c r="B37" s="18">
        <v>6.6799999999999998E-2</v>
      </c>
      <c r="C37" s="18">
        <v>6.3E-2</v>
      </c>
      <c r="D37" s="18">
        <v>6.2E-2</v>
      </c>
      <c r="E37" s="18">
        <v>6.2700000000000006E-2</v>
      </c>
      <c r="F37" s="18">
        <v>5.4899999999999997E-2</v>
      </c>
      <c r="G37" s="18">
        <v>0.10249999999999999</v>
      </c>
      <c r="H37" s="18">
        <v>0.1168</v>
      </c>
      <c r="I37" s="19">
        <v>8.6999999999999994E-2</v>
      </c>
    </row>
    <row r="38" spans="1:9" x14ac:dyDescent="0.3">
      <c r="A38" s="20" t="s">
        <v>58</v>
      </c>
      <c r="B38" s="21">
        <v>5.1700000000000003E-2</v>
      </c>
      <c r="C38" s="21">
        <v>5.0200000000000002E-2</v>
      </c>
      <c r="D38" s="21">
        <v>4.7199999999999999E-2</v>
      </c>
      <c r="E38" s="21">
        <v>4.9099999999999998E-2</v>
      </c>
      <c r="F38" s="21">
        <v>6.0400000000000002E-2</v>
      </c>
      <c r="G38" s="21">
        <v>5.2999999999999999E-2</v>
      </c>
      <c r="H38" s="21">
        <v>5.4699999999999999E-2</v>
      </c>
      <c r="I38" s="22">
        <v>0.14360000000000001</v>
      </c>
    </row>
    <row r="39" spans="1:9" x14ac:dyDescent="0.3">
      <c r="A39" s="17" t="s">
        <v>59</v>
      </c>
      <c r="B39" s="18" t="s">
        <v>54</v>
      </c>
      <c r="C39" s="18">
        <v>1.9599999999999999E-2</v>
      </c>
      <c r="D39" s="18">
        <v>3.6200000000000003E-2</v>
      </c>
      <c r="E39" s="18">
        <v>3.2899999999999999E-2</v>
      </c>
      <c r="F39" s="18">
        <v>4.02E-2</v>
      </c>
      <c r="G39" s="18">
        <v>5.5100000000000003E-2</v>
      </c>
      <c r="H39" s="18">
        <v>5.28E-2</v>
      </c>
      <c r="I39" s="19">
        <v>1.23E-2</v>
      </c>
    </row>
    <row r="40" spans="1:9" x14ac:dyDescent="0.3">
      <c r="A40" s="20" t="s">
        <v>61</v>
      </c>
      <c r="B40" s="21">
        <v>7.1300000000000002E-2</v>
      </c>
      <c r="C40" s="21">
        <v>7.5899999999999995E-2</v>
      </c>
      <c r="D40" s="21">
        <v>7.7799999999999994E-2</v>
      </c>
      <c r="E40" s="21" t="s">
        <v>54</v>
      </c>
      <c r="F40" s="21" t="s">
        <v>54</v>
      </c>
      <c r="G40" s="21">
        <v>1.9099999999999999E-2</v>
      </c>
      <c r="H40" s="21">
        <v>2.1299999999999999E-2</v>
      </c>
      <c r="I40" s="22">
        <v>2.2499999999999999E-2</v>
      </c>
    </row>
    <row r="41" spans="1:9" x14ac:dyDescent="0.3">
      <c r="A41" s="17" t="s">
        <v>63</v>
      </c>
      <c r="B41" s="18">
        <v>6.1199999999999997E-2</v>
      </c>
      <c r="C41" s="18">
        <v>6.5299999999999997E-2</v>
      </c>
      <c r="D41" s="18">
        <v>6.9599999999999995E-2</v>
      </c>
      <c r="E41" s="18">
        <v>6.7500000000000004E-2</v>
      </c>
      <c r="F41" s="18">
        <v>6.3500000000000001E-2</v>
      </c>
      <c r="G41" s="18">
        <v>6.8599999999999994E-2</v>
      </c>
      <c r="H41" s="18">
        <v>8.5599999999999996E-2</v>
      </c>
      <c r="I41" s="19">
        <v>8.7900000000000006E-2</v>
      </c>
    </row>
    <row r="42" spans="1:9" x14ac:dyDescent="0.3">
      <c r="A42" s="20" t="s">
        <v>64</v>
      </c>
      <c r="B42" s="21">
        <v>5.0099999999999999E-2</v>
      </c>
      <c r="C42" s="21">
        <v>4.24E-2</v>
      </c>
      <c r="D42" s="21">
        <v>4.8300000000000003E-2</v>
      </c>
      <c r="E42" s="21">
        <v>4.0300000000000002E-2</v>
      </c>
      <c r="F42" s="21">
        <v>3.8300000000000001E-2</v>
      </c>
      <c r="G42" s="21">
        <v>5.2200000000000003E-2</v>
      </c>
      <c r="H42" s="21">
        <v>2.1499999999999998E-2</v>
      </c>
      <c r="I42" s="22">
        <v>1.41E-2</v>
      </c>
    </row>
    <row r="43" spans="1:9" x14ac:dyDescent="0.3">
      <c r="A43" s="17" t="s">
        <v>66</v>
      </c>
      <c r="B43" s="18">
        <v>5.0799999999999998E-2</v>
      </c>
      <c r="C43" s="18">
        <v>5.1900000000000002E-2</v>
      </c>
      <c r="D43" s="18">
        <v>3.5400000000000001E-2</v>
      </c>
      <c r="E43" s="18">
        <v>4.0599999999999997E-2</v>
      </c>
      <c r="F43" s="18">
        <v>4.2700000000000002E-2</v>
      </c>
      <c r="G43" s="18">
        <v>3.2300000000000002E-2</v>
      </c>
      <c r="H43" s="18">
        <v>4.3799999999999999E-2</v>
      </c>
      <c r="I43" s="19">
        <v>7.3499999999999996E-2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D3DA-0086-4F9D-B579-9F963452BBCE}">
  <dimension ref="A1:D337"/>
  <sheetViews>
    <sheetView tabSelected="1" workbookViewId="0">
      <selection activeCell="E1" sqref="E1"/>
    </sheetView>
  </sheetViews>
  <sheetFormatPr defaultRowHeight="14.4" x14ac:dyDescent="0.3"/>
  <cols>
    <col min="1" max="1" width="12.6640625" customWidth="1"/>
    <col min="2" max="2" width="9.33203125" customWidth="1"/>
  </cols>
  <sheetData>
    <row r="1" spans="1:4" x14ac:dyDescent="0.3">
      <c r="A1" t="s">
        <v>85</v>
      </c>
      <c r="B1" t="s">
        <v>86</v>
      </c>
      <c r="C1" t="s">
        <v>87</v>
      </c>
      <c r="D1" t="s">
        <v>88</v>
      </c>
    </row>
    <row r="2" spans="1:4" x14ac:dyDescent="0.3">
      <c r="A2" s="21">
        <v>0.12659999999999999</v>
      </c>
      <c r="B2" s="20" t="s">
        <v>20</v>
      </c>
      <c r="C2">
        <v>1</v>
      </c>
      <c r="D2">
        <f t="shared" ref="D2:D65" si="0">IF(C2&gt;5,1,0)</f>
        <v>0</v>
      </c>
    </row>
    <row r="3" spans="1:4" x14ac:dyDescent="0.3">
      <c r="A3" s="18">
        <v>0.14419999999999999</v>
      </c>
      <c r="B3" s="17" t="s">
        <v>21</v>
      </c>
      <c r="C3">
        <v>1</v>
      </c>
      <c r="D3">
        <f t="shared" si="0"/>
        <v>0</v>
      </c>
    </row>
    <row r="4" spans="1:4" x14ac:dyDescent="0.3">
      <c r="A4" s="21">
        <v>0.13350000000000001</v>
      </c>
      <c r="B4" s="20" t="s">
        <v>22</v>
      </c>
      <c r="C4">
        <v>1</v>
      </c>
      <c r="D4">
        <f t="shared" si="0"/>
        <v>0</v>
      </c>
    </row>
    <row r="5" spans="1:4" x14ac:dyDescent="0.3">
      <c r="A5" s="18">
        <v>5.9499999999999997E-2</v>
      </c>
      <c r="B5" s="17" t="s">
        <v>23</v>
      </c>
      <c r="C5">
        <v>1</v>
      </c>
      <c r="D5">
        <f t="shared" si="0"/>
        <v>0</v>
      </c>
    </row>
    <row r="6" spans="1:4" x14ac:dyDescent="0.3">
      <c r="A6" s="21">
        <v>0.1094</v>
      </c>
      <c r="B6" s="20" t="s">
        <v>24</v>
      </c>
      <c r="C6">
        <v>1</v>
      </c>
      <c r="D6">
        <f t="shared" si="0"/>
        <v>0</v>
      </c>
    </row>
    <row r="7" spans="1:4" x14ac:dyDescent="0.3">
      <c r="A7" s="18">
        <v>3.8800000000000001E-2</v>
      </c>
      <c r="B7" s="17" t="s">
        <v>25</v>
      </c>
      <c r="C7">
        <v>1</v>
      </c>
      <c r="D7">
        <f t="shared" si="0"/>
        <v>0</v>
      </c>
    </row>
    <row r="8" spans="1:4" x14ac:dyDescent="0.3">
      <c r="A8" s="21">
        <v>0.12609999999999999</v>
      </c>
      <c r="B8" s="20" t="s">
        <v>26</v>
      </c>
      <c r="C8">
        <v>1</v>
      </c>
      <c r="D8">
        <f t="shared" si="0"/>
        <v>0</v>
      </c>
    </row>
    <row r="9" spans="1:4" x14ac:dyDescent="0.3">
      <c r="A9" s="18">
        <v>4.2999999999999997E-2</v>
      </c>
      <c r="B9" s="17" t="s">
        <v>27</v>
      </c>
      <c r="C9">
        <v>1</v>
      </c>
      <c r="D9">
        <f t="shared" si="0"/>
        <v>0</v>
      </c>
    </row>
    <row r="10" spans="1:4" x14ac:dyDescent="0.3">
      <c r="A10" s="21">
        <v>0.16250000000000001</v>
      </c>
      <c r="B10" s="20" t="s">
        <v>28</v>
      </c>
      <c r="C10">
        <v>1</v>
      </c>
      <c r="D10">
        <f t="shared" si="0"/>
        <v>0</v>
      </c>
    </row>
    <row r="11" spans="1:4" x14ac:dyDescent="0.3">
      <c r="A11" s="18">
        <v>9.9000000000000005E-2</v>
      </c>
      <c r="B11" s="17" t="s">
        <v>29</v>
      </c>
      <c r="C11">
        <v>1</v>
      </c>
      <c r="D11">
        <f t="shared" si="0"/>
        <v>0</v>
      </c>
    </row>
    <row r="12" spans="1:4" x14ac:dyDescent="0.3">
      <c r="A12" s="21">
        <v>0.30940000000000001</v>
      </c>
      <c r="B12" s="20" t="s">
        <v>30</v>
      </c>
      <c r="C12">
        <v>1</v>
      </c>
      <c r="D12">
        <f t="shared" si="0"/>
        <v>0</v>
      </c>
    </row>
    <row r="13" spans="1:4" x14ac:dyDescent="0.3">
      <c r="A13" s="18">
        <v>0.1195</v>
      </c>
      <c r="B13" s="17" t="s">
        <v>32</v>
      </c>
      <c r="C13">
        <v>1</v>
      </c>
      <c r="D13">
        <f t="shared" si="0"/>
        <v>0</v>
      </c>
    </row>
    <row r="14" spans="1:4" x14ac:dyDescent="0.3">
      <c r="A14" s="21">
        <v>8.2100000000000006E-2</v>
      </c>
      <c r="B14" s="20" t="s">
        <v>33</v>
      </c>
      <c r="C14">
        <v>1</v>
      </c>
      <c r="D14">
        <f t="shared" si="0"/>
        <v>0</v>
      </c>
    </row>
    <row r="15" spans="1:4" x14ac:dyDescent="0.3">
      <c r="A15" s="18">
        <v>0.13780000000000001</v>
      </c>
      <c r="B15" s="17" t="s">
        <v>34</v>
      </c>
      <c r="C15">
        <v>1</v>
      </c>
      <c r="D15">
        <f t="shared" si="0"/>
        <v>0</v>
      </c>
    </row>
    <row r="16" spans="1:4" x14ac:dyDescent="0.3">
      <c r="A16" s="21">
        <v>0.1527</v>
      </c>
      <c r="B16" s="20" t="s">
        <v>35</v>
      </c>
      <c r="C16">
        <v>1</v>
      </c>
      <c r="D16">
        <f t="shared" si="0"/>
        <v>0</v>
      </c>
    </row>
    <row r="17" spans="1:4" x14ac:dyDescent="0.3">
      <c r="A17" s="18">
        <v>4.87E-2</v>
      </c>
      <c r="B17" s="17" t="s">
        <v>36</v>
      </c>
      <c r="C17">
        <v>1</v>
      </c>
      <c r="D17">
        <f t="shared" si="0"/>
        <v>0</v>
      </c>
    </row>
    <row r="18" spans="1:4" x14ac:dyDescent="0.3">
      <c r="A18" s="21">
        <v>3.8199999999999998E-2</v>
      </c>
      <c r="B18" s="20" t="s">
        <v>37</v>
      </c>
      <c r="C18">
        <v>1</v>
      </c>
      <c r="D18">
        <f t="shared" si="0"/>
        <v>0</v>
      </c>
    </row>
    <row r="19" spans="1:4" x14ac:dyDescent="0.3">
      <c r="A19" s="18">
        <v>6.7199999999999996E-2</v>
      </c>
      <c r="B19" s="17" t="s">
        <v>38</v>
      </c>
      <c r="C19">
        <v>1</v>
      </c>
      <c r="D19">
        <f t="shared" si="0"/>
        <v>0</v>
      </c>
    </row>
    <row r="20" spans="1:4" x14ac:dyDescent="0.3">
      <c r="A20" s="21">
        <v>4.7199999999999999E-2</v>
      </c>
      <c r="B20" s="20" t="s">
        <v>39</v>
      </c>
      <c r="C20">
        <v>1</v>
      </c>
      <c r="D20">
        <f t="shared" si="0"/>
        <v>0</v>
      </c>
    </row>
    <row r="21" spans="1:4" x14ac:dyDescent="0.3">
      <c r="A21" s="18">
        <v>0.34300000000000003</v>
      </c>
      <c r="B21" s="17" t="s">
        <v>40</v>
      </c>
      <c r="C21">
        <v>1</v>
      </c>
      <c r="D21">
        <f t="shared" si="0"/>
        <v>0</v>
      </c>
    </row>
    <row r="22" spans="1:4" x14ac:dyDescent="0.3">
      <c r="A22" s="21">
        <v>0.114</v>
      </c>
      <c r="B22" s="20" t="s">
        <v>41</v>
      </c>
      <c r="C22">
        <v>1</v>
      </c>
      <c r="D22">
        <f t="shared" si="0"/>
        <v>0</v>
      </c>
    </row>
    <row r="23" spans="1:4" x14ac:dyDescent="0.3">
      <c r="A23" s="18">
        <v>0.08</v>
      </c>
      <c r="B23" s="17" t="s">
        <v>42</v>
      </c>
      <c r="C23">
        <v>1</v>
      </c>
      <c r="D23">
        <f t="shared" si="0"/>
        <v>0</v>
      </c>
    </row>
    <row r="24" spans="1:4" x14ac:dyDescent="0.3">
      <c r="A24" s="21">
        <v>5.2699999999999997E-2</v>
      </c>
      <c r="B24" s="20" t="s">
        <v>43</v>
      </c>
      <c r="C24">
        <v>1</v>
      </c>
      <c r="D24">
        <f t="shared" si="0"/>
        <v>0</v>
      </c>
    </row>
    <row r="25" spans="1:4" x14ac:dyDescent="0.3">
      <c r="A25" s="18">
        <v>7.7600000000000002E-2</v>
      </c>
      <c r="B25" s="17" t="s">
        <v>44</v>
      </c>
      <c r="C25">
        <v>1</v>
      </c>
      <c r="D25">
        <f t="shared" si="0"/>
        <v>0</v>
      </c>
    </row>
    <row r="26" spans="1:4" x14ac:dyDescent="0.3">
      <c r="A26" s="21">
        <v>4.9200000000000001E-2</v>
      </c>
      <c r="B26" s="20" t="s">
        <v>45</v>
      </c>
      <c r="C26">
        <v>1</v>
      </c>
      <c r="D26">
        <f t="shared" si="0"/>
        <v>0</v>
      </c>
    </row>
    <row r="27" spans="1:4" x14ac:dyDescent="0.3">
      <c r="A27" s="18">
        <v>5.6000000000000001E-2</v>
      </c>
      <c r="B27" s="17" t="s">
        <v>46</v>
      </c>
      <c r="C27">
        <v>1</v>
      </c>
      <c r="D27">
        <f t="shared" si="0"/>
        <v>0</v>
      </c>
    </row>
    <row r="28" spans="1:4" x14ac:dyDescent="0.3">
      <c r="A28" s="21">
        <v>5.3800000000000001E-2</v>
      </c>
      <c r="B28" s="20" t="s">
        <v>47</v>
      </c>
      <c r="C28">
        <v>1</v>
      </c>
      <c r="D28">
        <f t="shared" si="0"/>
        <v>0</v>
      </c>
    </row>
    <row r="29" spans="1:4" x14ac:dyDescent="0.3">
      <c r="A29" s="18">
        <v>8.8700000000000001E-2</v>
      </c>
      <c r="B29" s="17" t="s">
        <v>48</v>
      </c>
      <c r="C29">
        <v>1</v>
      </c>
      <c r="D29">
        <f t="shared" si="0"/>
        <v>0</v>
      </c>
    </row>
    <row r="30" spans="1:4" x14ac:dyDescent="0.3">
      <c r="A30" s="21">
        <v>5.2600000000000001E-2</v>
      </c>
      <c r="B30" s="20" t="s">
        <v>49</v>
      </c>
      <c r="C30">
        <v>1</v>
      </c>
      <c r="D30">
        <f t="shared" si="0"/>
        <v>0</v>
      </c>
    </row>
    <row r="31" spans="1:4" x14ac:dyDescent="0.3">
      <c r="A31" s="18">
        <v>4.8899999999999999E-2</v>
      </c>
      <c r="B31" s="17" t="s">
        <v>50</v>
      </c>
      <c r="C31">
        <v>1</v>
      </c>
      <c r="D31">
        <f t="shared" si="0"/>
        <v>0</v>
      </c>
    </row>
    <row r="32" spans="1:4" x14ac:dyDescent="0.3">
      <c r="A32" s="21">
        <v>7.0800000000000002E-2</v>
      </c>
      <c r="B32" s="20" t="s">
        <v>51</v>
      </c>
      <c r="C32">
        <v>1</v>
      </c>
      <c r="D32">
        <f t="shared" si="0"/>
        <v>0</v>
      </c>
    </row>
    <row r="33" spans="1:4" x14ac:dyDescent="0.3">
      <c r="A33" s="18">
        <v>7.17E-2</v>
      </c>
      <c r="B33" s="17" t="s">
        <v>52</v>
      </c>
      <c r="C33">
        <v>1</v>
      </c>
      <c r="D33">
        <f t="shared" si="0"/>
        <v>0</v>
      </c>
    </row>
    <row r="34" spans="1:4" x14ac:dyDescent="0.3">
      <c r="A34" s="21">
        <v>0.12670000000000001</v>
      </c>
      <c r="B34" s="20" t="s">
        <v>53</v>
      </c>
      <c r="C34">
        <v>1</v>
      </c>
      <c r="D34">
        <f t="shared" si="0"/>
        <v>0</v>
      </c>
    </row>
    <row r="35" spans="1:4" x14ac:dyDescent="0.3">
      <c r="A35" s="18">
        <v>8.9399999999999993E-2</v>
      </c>
      <c r="B35" s="17" t="s">
        <v>55</v>
      </c>
      <c r="C35">
        <v>1</v>
      </c>
      <c r="D35">
        <f t="shared" si="0"/>
        <v>0</v>
      </c>
    </row>
    <row r="36" spans="1:4" x14ac:dyDescent="0.3">
      <c r="A36" s="21">
        <v>3.7999999999999999E-2</v>
      </c>
      <c r="B36" s="20" t="s">
        <v>56</v>
      </c>
      <c r="C36">
        <v>1</v>
      </c>
      <c r="D36">
        <f t="shared" si="0"/>
        <v>0</v>
      </c>
    </row>
    <row r="37" spans="1:4" x14ac:dyDescent="0.3">
      <c r="A37" s="18">
        <v>6.6799999999999998E-2</v>
      </c>
      <c r="B37" s="17" t="s">
        <v>57</v>
      </c>
      <c r="C37">
        <v>1</v>
      </c>
      <c r="D37">
        <f t="shared" si="0"/>
        <v>0</v>
      </c>
    </row>
    <row r="38" spans="1:4" x14ac:dyDescent="0.3">
      <c r="A38" s="21">
        <v>5.1700000000000003E-2</v>
      </c>
      <c r="B38" s="20" t="s">
        <v>58</v>
      </c>
      <c r="C38">
        <v>1</v>
      </c>
      <c r="D38">
        <f t="shared" si="0"/>
        <v>0</v>
      </c>
    </row>
    <row r="39" spans="1:4" x14ac:dyDescent="0.3">
      <c r="A39" s="18" t="s">
        <v>54</v>
      </c>
      <c r="B39" s="17" t="s">
        <v>59</v>
      </c>
      <c r="C39">
        <v>1</v>
      </c>
      <c r="D39">
        <f t="shared" si="0"/>
        <v>0</v>
      </c>
    </row>
    <row r="40" spans="1:4" x14ac:dyDescent="0.3">
      <c r="A40" s="21">
        <v>7.1300000000000002E-2</v>
      </c>
      <c r="B40" s="20" t="s">
        <v>61</v>
      </c>
      <c r="C40">
        <v>1</v>
      </c>
      <c r="D40">
        <f t="shared" si="0"/>
        <v>0</v>
      </c>
    </row>
    <row r="41" spans="1:4" x14ac:dyDescent="0.3">
      <c r="A41" s="18">
        <v>6.1199999999999997E-2</v>
      </c>
      <c r="B41" s="17" t="s">
        <v>63</v>
      </c>
      <c r="C41">
        <v>1</v>
      </c>
      <c r="D41">
        <f t="shared" si="0"/>
        <v>0</v>
      </c>
    </row>
    <row r="42" spans="1:4" x14ac:dyDescent="0.3">
      <c r="A42" s="21">
        <v>5.0099999999999999E-2</v>
      </c>
      <c r="B42" s="20" t="s">
        <v>64</v>
      </c>
      <c r="C42">
        <v>1</v>
      </c>
      <c r="D42">
        <f t="shared" si="0"/>
        <v>0</v>
      </c>
    </row>
    <row r="43" spans="1:4" x14ac:dyDescent="0.3">
      <c r="A43" s="18">
        <v>5.0799999999999998E-2</v>
      </c>
      <c r="B43" s="17" t="s">
        <v>66</v>
      </c>
      <c r="C43">
        <v>1</v>
      </c>
      <c r="D43">
        <f t="shared" si="0"/>
        <v>0</v>
      </c>
    </row>
    <row r="44" spans="1:4" x14ac:dyDescent="0.3">
      <c r="A44" s="21">
        <v>0.13519999999999999</v>
      </c>
      <c r="B44" s="20" t="s">
        <v>20</v>
      </c>
      <c r="C44">
        <v>2</v>
      </c>
      <c r="D44">
        <f t="shared" si="0"/>
        <v>0</v>
      </c>
    </row>
    <row r="45" spans="1:4" x14ac:dyDescent="0.3">
      <c r="A45" s="18">
        <v>0.15379999999999999</v>
      </c>
      <c r="B45" s="17" t="s">
        <v>21</v>
      </c>
      <c r="C45">
        <v>2</v>
      </c>
      <c r="D45">
        <f t="shared" si="0"/>
        <v>0</v>
      </c>
    </row>
    <row r="46" spans="1:4" x14ac:dyDescent="0.3">
      <c r="A46" s="21">
        <v>0.14119999999999999</v>
      </c>
      <c r="B46" s="20" t="s">
        <v>22</v>
      </c>
      <c r="C46">
        <v>2</v>
      </c>
      <c r="D46">
        <f t="shared" si="0"/>
        <v>0</v>
      </c>
    </row>
    <row r="47" spans="1:4" x14ac:dyDescent="0.3">
      <c r="A47" s="18">
        <v>0.06</v>
      </c>
      <c r="B47" s="17" t="s">
        <v>23</v>
      </c>
      <c r="C47">
        <v>2</v>
      </c>
      <c r="D47">
        <f t="shared" si="0"/>
        <v>0</v>
      </c>
    </row>
    <row r="48" spans="1:4" x14ac:dyDescent="0.3">
      <c r="A48" s="21">
        <v>0.1128</v>
      </c>
      <c r="B48" s="20" t="s">
        <v>24</v>
      </c>
      <c r="C48">
        <v>2</v>
      </c>
      <c r="D48">
        <f t="shared" si="0"/>
        <v>0</v>
      </c>
    </row>
    <row r="49" spans="1:4" x14ac:dyDescent="0.3">
      <c r="A49" s="18">
        <v>5.0299999999999997E-2</v>
      </c>
      <c r="B49" s="17" t="s">
        <v>25</v>
      </c>
      <c r="C49">
        <v>2</v>
      </c>
      <c r="D49">
        <f t="shared" si="0"/>
        <v>0</v>
      </c>
    </row>
    <row r="50" spans="1:4" x14ac:dyDescent="0.3">
      <c r="A50" s="21">
        <v>0.12670000000000001</v>
      </c>
      <c r="B50" s="20" t="s">
        <v>26</v>
      </c>
      <c r="C50">
        <v>2</v>
      </c>
      <c r="D50">
        <f t="shared" si="0"/>
        <v>0</v>
      </c>
    </row>
    <row r="51" spans="1:4" x14ac:dyDescent="0.3">
      <c r="A51" s="18">
        <v>5.3100000000000001E-2</v>
      </c>
      <c r="B51" s="17" t="s">
        <v>27</v>
      </c>
      <c r="C51">
        <v>2</v>
      </c>
      <c r="D51">
        <f t="shared" si="0"/>
        <v>0</v>
      </c>
    </row>
    <row r="52" spans="1:4" x14ac:dyDescent="0.3">
      <c r="A52" s="21">
        <v>0.14960000000000001</v>
      </c>
      <c r="B52" s="20" t="s">
        <v>28</v>
      </c>
      <c r="C52">
        <v>2</v>
      </c>
      <c r="D52">
        <f t="shared" si="0"/>
        <v>0</v>
      </c>
    </row>
    <row r="53" spans="1:4" x14ac:dyDescent="0.3">
      <c r="A53" s="18">
        <v>0.1153</v>
      </c>
      <c r="B53" s="17" t="s">
        <v>29</v>
      </c>
      <c r="C53">
        <v>2</v>
      </c>
      <c r="D53">
        <f t="shared" si="0"/>
        <v>0</v>
      </c>
    </row>
    <row r="54" spans="1:4" x14ac:dyDescent="0.3">
      <c r="A54" s="21">
        <v>0.33119999999999999</v>
      </c>
      <c r="B54" s="20" t="s">
        <v>30</v>
      </c>
      <c r="C54">
        <v>2</v>
      </c>
      <c r="D54">
        <f t="shared" si="0"/>
        <v>0</v>
      </c>
    </row>
    <row r="55" spans="1:4" x14ac:dyDescent="0.3">
      <c r="A55" s="18">
        <v>0.1326</v>
      </c>
      <c r="B55" s="17" t="s">
        <v>32</v>
      </c>
      <c r="C55">
        <v>2</v>
      </c>
      <c r="D55">
        <f t="shared" si="0"/>
        <v>0</v>
      </c>
    </row>
    <row r="56" spans="1:4" x14ac:dyDescent="0.3">
      <c r="A56" s="21">
        <v>8.5099999999999995E-2</v>
      </c>
      <c r="B56" s="20" t="s">
        <v>33</v>
      </c>
      <c r="C56">
        <v>2</v>
      </c>
      <c r="D56">
        <f t="shared" si="0"/>
        <v>0</v>
      </c>
    </row>
    <row r="57" spans="1:4" x14ac:dyDescent="0.3">
      <c r="A57" s="18">
        <v>0.1434</v>
      </c>
      <c r="B57" s="17" t="s">
        <v>34</v>
      </c>
      <c r="C57">
        <v>2</v>
      </c>
      <c r="D57">
        <f t="shared" si="0"/>
        <v>0</v>
      </c>
    </row>
    <row r="58" spans="1:4" x14ac:dyDescent="0.3">
      <c r="A58" s="21">
        <v>0.2082</v>
      </c>
      <c r="B58" s="20" t="s">
        <v>35</v>
      </c>
      <c r="C58">
        <v>2</v>
      </c>
      <c r="D58">
        <f t="shared" si="0"/>
        <v>0</v>
      </c>
    </row>
    <row r="59" spans="1:4" x14ac:dyDescent="0.3">
      <c r="A59" s="18">
        <v>4.9500000000000002E-2</v>
      </c>
      <c r="B59" s="17" t="s">
        <v>36</v>
      </c>
      <c r="C59">
        <v>2</v>
      </c>
      <c r="D59">
        <f t="shared" si="0"/>
        <v>0</v>
      </c>
    </row>
    <row r="60" spans="1:4" x14ac:dyDescent="0.3">
      <c r="A60" s="21">
        <v>3.5000000000000003E-2</v>
      </c>
      <c r="B60" s="20" t="s">
        <v>37</v>
      </c>
      <c r="C60">
        <v>2</v>
      </c>
      <c r="D60">
        <f t="shared" si="0"/>
        <v>0</v>
      </c>
    </row>
    <row r="61" spans="1:4" x14ac:dyDescent="0.3">
      <c r="A61" s="18">
        <v>7.0800000000000002E-2</v>
      </c>
      <c r="B61" s="17" t="s">
        <v>38</v>
      </c>
      <c r="C61">
        <v>2</v>
      </c>
      <c r="D61">
        <f t="shared" si="0"/>
        <v>0</v>
      </c>
    </row>
    <row r="62" spans="1:4" x14ac:dyDescent="0.3">
      <c r="A62" s="21">
        <v>4.5400000000000003E-2</v>
      </c>
      <c r="B62" s="20" t="s">
        <v>39</v>
      </c>
      <c r="C62">
        <v>2</v>
      </c>
      <c r="D62">
        <f t="shared" si="0"/>
        <v>0</v>
      </c>
    </row>
    <row r="63" spans="1:4" x14ac:dyDescent="0.3">
      <c r="A63" s="18">
        <v>0.3261</v>
      </c>
      <c r="B63" s="17" t="s">
        <v>40</v>
      </c>
      <c r="C63">
        <v>2</v>
      </c>
      <c r="D63">
        <f t="shared" si="0"/>
        <v>0</v>
      </c>
    </row>
    <row r="64" spans="1:4" x14ac:dyDescent="0.3">
      <c r="A64" s="21">
        <v>0.12</v>
      </c>
      <c r="B64" s="20" t="s">
        <v>41</v>
      </c>
      <c r="C64">
        <v>2</v>
      </c>
      <c r="D64">
        <f t="shared" si="0"/>
        <v>0</v>
      </c>
    </row>
    <row r="65" spans="1:4" x14ac:dyDescent="0.3">
      <c r="A65" s="18">
        <v>8.3199999999999996E-2</v>
      </c>
      <c r="B65" s="17" t="s">
        <v>42</v>
      </c>
      <c r="C65">
        <v>2</v>
      </c>
      <c r="D65">
        <f t="shared" si="0"/>
        <v>0</v>
      </c>
    </row>
    <row r="66" spans="1:4" x14ac:dyDescent="0.3">
      <c r="A66" s="21">
        <v>5.1299999999999998E-2</v>
      </c>
      <c r="B66" s="20" t="s">
        <v>43</v>
      </c>
      <c r="C66">
        <v>2</v>
      </c>
      <c r="D66">
        <f t="shared" ref="D66:D129" si="1">IF(C66&gt;5,1,0)</f>
        <v>0</v>
      </c>
    </row>
    <row r="67" spans="1:4" x14ac:dyDescent="0.3">
      <c r="A67" s="18">
        <v>6.2E-2</v>
      </c>
      <c r="B67" s="17" t="s">
        <v>44</v>
      </c>
      <c r="C67">
        <v>2</v>
      </c>
      <c r="D67">
        <f t="shared" si="1"/>
        <v>0</v>
      </c>
    </row>
    <row r="68" spans="1:4" x14ac:dyDescent="0.3">
      <c r="A68" s="21">
        <v>5.5800000000000002E-2</v>
      </c>
      <c r="B68" s="20" t="s">
        <v>45</v>
      </c>
      <c r="C68">
        <v>2</v>
      </c>
      <c r="D68">
        <f t="shared" si="1"/>
        <v>0</v>
      </c>
    </row>
    <row r="69" spans="1:4" x14ac:dyDescent="0.3">
      <c r="A69" s="18">
        <v>5.8900000000000001E-2</v>
      </c>
      <c r="B69" s="17" t="s">
        <v>46</v>
      </c>
      <c r="C69">
        <v>2</v>
      </c>
      <c r="D69">
        <f t="shared" si="1"/>
        <v>0</v>
      </c>
    </row>
    <row r="70" spans="1:4" x14ac:dyDescent="0.3">
      <c r="A70" s="21">
        <v>5.9700000000000003E-2</v>
      </c>
      <c r="B70" s="20" t="s">
        <v>47</v>
      </c>
      <c r="C70">
        <v>2</v>
      </c>
      <c r="D70">
        <f t="shared" si="1"/>
        <v>0</v>
      </c>
    </row>
    <row r="71" spans="1:4" x14ac:dyDescent="0.3">
      <c r="A71" s="18">
        <v>9.1700000000000004E-2</v>
      </c>
      <c r="B71" s="17" t="s">
        <v>48</v>
      </c>
      <c r="C71">
        <v>2</v>
      </c>
      <c r="D71">
        <f t="shared" si="1"/>
        <v>0</v>
      </c>
    </row>
    <row r="72" spans="1:4" x14ac:dyDescent="0.3">
      <c r="A72" s="21">
        <v>6.2E-2</v>
      </c>
      <c r="B72" s="20" t="s">
        <v>49</v>
      </c>
      <c r="C72">
        <v>2</v>
      </c>
      <c r="D72">
        <f t="shared" si="1"/>
        <v>0</v>
      </c>
    </row>
    <row r="73" spans="1:4" x14ac:dyDescent="0.3">
      <c r="A73" s="18">
        <v>4.8399999999999999E-2</v>
      </c>
      <c r="B73" s="17" t="s">
        <v>50</v>
      </c>
      <c r="C73">
        <v>2</v>
      </c>
      <c r="D73">
        <f t="shared" si="1"/>
        <v>0</v>
      </c>
    </row>
    <row r="74" spans="1:4" x14ac:dyDescent="0.3">
      <c r="A74" s="21">
        <v>7.7700000000000005E-2</v>
      </c>
      <c r="B74" s="20" t="s">
        <v>51</v>
      </c>
      <c r="C74">
        <v>2</v>
      </c>
      <c r="D74">
        <f t="shared" si="1"/>
        <v>0</v>
      </c>
    </row>
    <row r="75" spans="1:4" x14ac:dyDescent="0.3">
      <c r="A75" s="18">
        <v>8.4199999999999997E-2</v>
      </c>
      <c r="B75" s="17" t="s">
        <v>52</v>
      </c>
      <c r="C75">
        <v>2</v>
      </c>
      <c r="D75">
        <f t="shared" si="1"/>
        <v>0</v>
      </c>
    </row>
    <row r="76" spans="1:4" x14ac:dyDescent="0.3">
      <c r="A76" s="21">
        <v>0.13819999999999999</v>
      </c>
      <c r="B76" s="20" t="s">
        <v>53</v>
      </c>
      <c r="C76">
        <v>2</v>
      </c>
      <c r="D76">
        <f t="shared" si="1"/>
        <v>0</v>
      </c>
    </row>
    <row r="77" spans="1:4" x14ac:dyDescent="0.3">
      <c r="A77" s="18">
        <v>8.3500000000000005E-2</v>
      </c>
      <c r="B77" s="17" t="s">
        <v>55</v>
      </c>
      <c r="C77">
        <v>2</v>
      </c>
      <c r="D77">
        <f t="shared" si="1"/>
        <v>0</v>
      </c>
    </row>
    <row r="78" spans="1:4" x14ac:dyDescent="0.3">
      <c r="A78" s="21">
        <v>4.02E-2</v>
      </c>
      <c r="B78" s="20" t="s">
        <v>56</v>
      </c>
      <c r="C78">
        <v>2</v>
      </c>
      <c r="D78">
        <f t="shared" si="1"/>
        <v>0</v>
      </c>
    </row>
    <row r="79" spans="1:4" x14ac:dyDescent="0.3">
      <c r="A79" s="18">
        <v>6.3E-2</v>
      </c>
      <c r="B79" s="17" t="s">
        <v>57</v>
      </c>
      <c r="C79">
        <v>2</v>
      </c>
      <c r="D79">
        <f t="shared" si="1"/>
        <v>0</v>
      </c>
    </row>
    <row r="80" spans="1:4" x14ac:dyDescent="0.3">
      <c r="A80" s="21">
        <v>5.0200000000000002E-2</v>
      </c>
      <c r="B80" s="20" t="s">
        <v>58</v>
      </c>
      <c r="C80">
        <v>2</v>
      </c>
      <c r="D80">
        <f t="shared" si="1"/>
        <v>0</v>
      </c>
    </row>
    <row r="81" spans="1:4" x14ac:dyDescent="0.3">
      <c r="A81" s="18">
        <v>1.9599999999999999E-2</v>
      </c>
      <c r="B81" s="17" t="s">
        <v>59</v>
      </c>
      <c r="C81">
        <v>2</v>
      </c>
      <c r="D81">
        <f t="shared" si="1"/>
        <v>0</v>
      </c>
    </row>
    <row r="82" spans="1:4" x14ac:dyDescent="0.3">
      <c r="A82" s="21">
        <v>7.5899999999999995E-2</v>
      </c>
      <c r="B82" s="20" t="s">
        <v>61</v>
      </c>
      <c r="C82">
        <v>2</v>
      </c>
      <c r="D82">
        <f t="shared" si="1"/>
        <v>0</v>
      </c>
    </row>
    <row r="83" spans="1:4" x14ac:dyDescent="0.3">
      <c r="A83" s="18">
        <v>6.5299999999999997E-2</v>
      </c>
      <c r="B83" s="17" t="s">
        <v>63</v>
      </c>
      <c r="C83">
        <v>2</v>
      </c>
      <c r="D83">
        <f t="shared" si="1"/>
        <v>0</v>
      </c>
    </row>
    <row r="84" spans="1:4" x14ac:dyDescent="0.3">
      <c r="A84" s="21">
        <v>4.24E-2</v>
      </c>
      <c r="B84" s="20" t="s">
        <v>64</v>
      </c>
      <c r="C84">
        <v>2</v>
      </c>
      <c r="D84">
        <f t="shared" si="1"/>
        <v>0</v>
      </c>
    </row>
    <row r="85" spans="1:4" x14ac:dyDescent="0.3">
      <c r="A85" s="18">
        <v>5.1900000000000002E-2</v>
      </c>
      <c r="B85" s="17" t="s">
        <v>66</v>
      </c>
      <c r="C85">
        <v>2</v>
      </c>
      <c r="D85">
        <f t="shared" si="1"/>
        <v>0</v>
      </c>
    </row>
    <row r="86" spans="1:4" x14ac:dyDescent="0.3">
      <c r="A86" s="21">
        <v>0.1091</v>
      </c>
      <c r="B86" s="20" t="s">
        <v>20</v>
      </c>
      <c r="C86">
        <v>3</v>
      </c>
      <c r="D86">
        <f t="shared" si="1"/>
        <v>0</v>
      </c>
    </row>
    <row r="87" spans="1:4" x14ac:dyDescent="0.3">
      <c r="A87" s="18">
        <v>0.12</v>
      </c>
      <c r="B87" s="17" t="s">
        <v>21</v>
      </c>
      <c r="C87">
        <v>3</v>
      </c>
      <c r="D87">
        <f t="shared" si="1"/>
        <v>0</v>
      </c>
    </row>
    <row r="88" spans="1:4" x14ac:dyDescent="0.3">
      <c r="A88" s="21">
        <v>0.16470000000000001</v>
      </c>
      <c r="B88" s="20" t="s">
        <v>22</v>
      </c>
      <c r="C88">
        <v>3</v>
      </c>
      <c r="D88">
        <f t="shared" si="1"/>
        <v>0</v>
      </c>
    </row>
    <row r="89" spans="1:4" x14ac:dyDescent="0.3">
      <c r="A89" s="18">
        <v>5.9499999999999997E-2</v>
      </c>
      <c r="B89" s="17" t="s">
        <v>23</v>
      </c>
      <c r="C89">
        <v>3</v>
      </c>
      <c r="D89">
        <f t="shared" si="1"/>
        <v>0</v>
      </c>
    </row>
    <row r="90" spans="1:4" x14ac:dyDescent="0.3">
      <c r="A90" s="21">
        <v>0.13170000000000001</v>
      </c>
      <c r="B90" s="20" t="s">
        <v>24</v>
      </c>
      <c r="C90">
        <v>3</v>
      </c>
      <c r="D90">
        <f t="shared" si="1"/>
        <v>0</v>
      </c>
    </row>
    <row r="91" spans="1:4" x14ac:dyDescent="0.3">
      <c r="A91" s="18">
        <v>5.3900000000000003E-2</v>
      </c>
      <c r="B91" s="17" t="s">
        <v>25</v>
      </c>
      <c r="C91">
        <v>3</v>
      </c>
      <c r="D91">
        <f t="shared" si="1"/>
        <v>0</v>
      </c>
    </row>
    <row r="92" spans="1:4" x14ac:dyDescent="0.3">
      <c r="A92" s="21">
        <v>9.2499999999999999E-2</v>
      </c>
      <c r="B92" s="20" t="s">
        <v>26</v>
      </c>
      <c r="C92">
        <v>3</v>
      </c>
      <c r="D92">
        <f t="shared" si="1"/>
        <v>0</v>
      </c>
    </row>
    <row r="93" spans="1:4" x14ac:dyDescent="0.3">
      <c r="A93" s="18">
        <v>5.7500000000000002E-2</v>
      </c>
      <c r="B93" s="17" t="s">
        <v>27</v>
      </c>
      <c r="C93">
        <v>3</v>
      </c>
      <c r="D93">
        <f t="shared" si="1"/>
        <v>0</v>
      </c>
    </row>
    <row r="94" spans="1:4" x14ac:dyDescent="0.3">
      <c r="A94" s="21">
        <v>0.16589999999999999</v>
      </c>
      <c r="B94" s="20" t="s">
        <v>28</v>
      </c>
      <c r="C94">
        <v>3</v>
      </c>
      <c r="D94">
        <f t="shared" si="1"/>
        <v>0</v>
      </c>
    </row>
    <row r="95" spans="1:4" x14ac:dyDescent="0.3">
      <c r="A95" s="18">
        <v>0.1206</v>
      </c>
      <c r="B95" s="17" t="s">
        <v>29</v>
      </c>
      <c r="C95">
        <v>3</v>
      </c>
      <c r="D95">
        <f t="shared" si="1"/>
        <v>0</v>
      </c>
    </row>
    <row r="96" spans="1:4" x14ac:dyDescent="0.3">
      <c r="A96" s="21">
        <v>0.15210000000000001</v>
      </c>
      <c r="B96" s="20" t="s">
        <v>30</v>
      </c>
      <c r="C96">
        <v>3</v>
      </c>
      <c r="D96">
        <f t="shared" si="1"/>
        <v>0</v>
      </c>
    </row>
    <row r="97" spans="1:4" x14ac:dyDescent="0.3">
      <c r="A97" s="18">
        <v>0.11269999999999999</v>
      </c>
      <c r="B97" s="17" t="s">
        <v>32</v>
      </c>
      <c r="C97">
        <v>3</v>
      </c>
      <c r="D97">
        <f t="shared" si="1"/>
        <v>0</v>
      </c>
    </row>
    <row r="98" spans="1:4" x14ac:dyDescent="0.3">
      <c r="A98" s="21">
        <v>8.4199999999999997E-2</v>
      </c>
      <c r="B98" s="20" t="s">
        <v>33</v>
      </c>
      <c r="C98">
        <v>3</v>
      </c>
      <c r="D98">
        <f t="shared" si="1"/>
        <v>0</v>
      </c>
    </row>
    <row r="99" spans="1:4" x14ac:dyDescent="0.3">
      <c r="A99" s="18">
        <v>0.15479999999999999</v>
      </c>
      <c r="B99" s="17" t="s">
        <v>34</v>
      </c>
      <c r="C99">
        <v>3</v>
      </c>
      <c r="D99">
        <f t="shared" si="1"/>
        <v>0</v>
      </c>
    </row>
    <row r="100" spans="1:4" x14ac:dyDescent="0.3">
      <c r="A100" s="21">
        <v>0.19900000000000001</v>
      </c>
      <c r="B100" s="20" t="s">
        <v>35</v>
      </c>
      <c r="C100">
        <v>3</v>
      </c>
      <c r="D100">
        <f t="shared" si="1"/>
        <v>0</v>
      </c>
    </row>
    <row r="101" spans="1:4" x14ac:dyDescent="0.3">
      <c r="A101" s="18">
        <v>6.1600000000000002E-2</v>
      </c>
      <c r="B101" s="17" t="s">
        <v>36</v>
      </c>
      <c r="C101">
        <v>3</v>
      </c>
      <c r="D101">
        <f t="shared" si="1"/>
        <v>0</v>
      </c>
    </row>
    <row r="102" spans="1:4" x14ac:dyDescent="0.3">
      <c r="A102" s="21">
        <v>4.9099999999999998E-2</v>
      </c>
      <c r="B102" s="20" t="s">
        <v>37</v>
      </c>
      <c r="C102">
        <v>3</v>
      </c>
      <c r="D102">
        <f t="shared" si="1"/>
        <v>0</v>
      </c>
    </row>
    <row r="103" spans="1:4" x14ac:dyDescent="0.3">
      <c r="A103" s="18">
        <v>7.6100000000000001E-2</v>
      </c>
      <c r="B103" s="17" t="s">
        <v>38</v>
      </c>
      <c r="C103">
        <v>3</v>
      </c>
      <c r="D103">
        <f t="shared" si="1"/>
        <v>0</v>
      </c>
    </row>
    <row r="104" spans="1:4" x14ac:dyDescent="0.3">
      <c r="A104" s="21">
        <v>4.2900000000000001E-2</v>
      </c>
      <c r="B104" s="20" t="s">
        <v>39</v>
      </c>
      <c r="C104">
        <v>3</v>
      </c>
      <c r="D104">
        <f t="shared" si="1"/>
        <v>0</v>
      </c>
    </row>
    <row r="105" spans="1:4" x14ac:dyDescent="0.3">
      <c r="A105" s="18">
        <v>0.32040000000000002</v>
      </c>
      <c r="B105" s="17" t="s">
        <v>40</v>
      </c>
      <c r="C105">
        <v>3</v>
      </c>
      <c r="D105">
        <f t="shared" si="1"/>
        <v>0</v>
      </c>
    </row>
    <row r="106" spans="1:4" x14ac:dyDescent="0.3">
      <c r="A106" s="21">
        <v>0.14000000000000001</v>
      </c>
      <c r="B106" s="20" t="s">
        <v>41</v>
      </c>
      <c r="C106">
        <v>3</v>
      </c>
      <c r="D106">
        <f t="shared" si="1"/>
        <v>0</v>
      </c>
    </row>
    <row r="107" spans="1:4" x14ac:dyDescent="0.3">
      <c r="A107" s="18">
        <v>9.11E-2</v>
      </c>
      <c r="B107" s="17" t="s">
        <v>42</v>
      </c>
      <c r="C107">
        <v>3</v>
      </c>
      <c r="D107">
        <f t="shared" si="1"/>
        <v>0</v>
      </c>
    </row>
    <row r="108" spans="1:4" x14ac:dyDescent="0.3">
      <c r="A108" s="21">
        <v>5.04E-2</v>
      </c>
      <c r="B108" s="20" t="s">
        <v>43</v>
      </c>
      <c r="C108">
        <v>3</v>
      </c>
      <c r="D108">
        <f t="shared" si="1"/>
        <v>0</v>
      </c>
    </row>
    <row r="109" spans="1:4" x14ac:dyDescent="0.3">
      <c r="A109" s="18">
        <v>0.1096</v>
      </c>
      <c r="B109" s="17" t="s">
        <v>44</v>
      </c>
      <c r="C109">
        <v>3</v>
      </c>
      <c r="D109">
        <f t="shared" si="1"/>
        <v>0</v>
      </c>
    </row>
    <row r="110" spans="1:4" x14ac:dyDescent="0.3">
      <c r="A110" s="21">
        <v>5.8099999999999999E-2</v>
      </c>
      <c r="B110" s="20" t="s">
        <v>45</v>
      </c>
      <c r="C110">
        <v>3</v>
      </c>
      <c r="D110">
        <f t="shared" si="1"/>
        <v>0</v>
      </c>
    </row>
    <row r="111" spans="1:4" x14ac:dyDescent="0.3">
      <c r="A111" s="18">
        <v>6.1699999999999998E-2</v>
      </c>
      <c r="B111" s="17" t="s">
        <v>46</v>
      </c>
      <c r="C111">
        <v>3</v>
      </c>
      <c r="D111">
        <f t="shared" si="1"/>
        <v>0</v>
      </c>
    </row>
    <row r="112" spans="1:4" x14ac:dyDescent="0.3">
      <c r="A112" s="21">
        <v>7.0400000000000004E-2</v>
      </c>
      <c r="B112" s="20" t="s">
        <v>47</v>
      </c>
      <c r="C112">
        <v>3</v>
      </c>
      <c r="D112">
        <f t="shared" si="1"/>
        <v>0</v>
      </c>
    </row>
    <row r="113" spans="1:4" x14ac:dyDescent="0.3">
      <c r="A113" s="18">
        <v>9.7100000000000006E-2</v>
      </c>
      <c r="B113" s="17" t="s">
        <v>48</v>
      </c>
      <c r="C113">
        <v>3</v>
      </c>
      <c r="D113">
        <f t="shared" si="1"/>
        <v>0</v>
      </c>
    </row>
    <row r="114" spans="1:4" x14ac:dyDescent="0.3">
      <c r="A114" s="21">
        <v>6.7699999999999996E-2</v>
      </c>
      <c r="B114" s="20" t="s">
        <v>49</v>
      </c>
      <c r="C114">
        <v>3</v>
      </c>
      <c r="D114">
        <f t="shared" si="1"/>
        <v>0</v>
      </c>
    </row>
    <row r="115" spans="1:4" x14ac:dyDescent="0.3">
      <c r="A115" s="18">
        <v>4.7E-2</v>
      </c>
      <c r="B115" s="17" t="s">
        <v>50</v>
      </c>
      <c r="C115">
        <v>3</v>
      </c>
      <c r="D115">
        <f t="shared" si="1"/>
        <v>0</v>
      </c>
    </row>
    <row r="116" spans="1:4" x14ac:dyDescent="0.3">
      <c r="A116" s="21">
        <v>8.1100000000000005E-2</v>
      </c>
      <c r="B116" s="20" t="s">
        <v>51</v>
      </c>
      <c r="C116">
        <v>3</v>
      </c>
      <c r="D116">
        <f t="shared" si="1"/>
        <v>0</v>
      </c>
    </row>
    <row r="117" spans="1:4" x14ac:dyDescent="0.3">
      <c r="A117" s="18">
        <v>8.0500000000000002E-2</v>
      </c>
      <c r="B117" s="17" t="s">
        <v>52</v>
      </c>
      <c r="C117">
        <v>3</v>
      </c>
      <c r="D117">
        <f t="shared" si="1"/>
        <v>0</v>
      </c>
    </row>
    <row r="118" spans="1:4" x14ac:dyDescent="0.3">
      <c r="A118" s="21">
        <v>0.1469</v>
      </c>
      <c r="B118" s="20" t="s">
        <v>53</v>
      </c>
      <c r="C118">
        <v>3</v>
      </c>
      <c r="D118">
        <f t="shared" si="1"/>
        <v>0</v>
      </c>
    </row>
    <row r="119" spans="1:4" x14ac:dyDescent="0.3">
      <c r="A119" s="18">
        <v>8.1900000000000001E-2</v>
      </c>
      <c r="B119" s="17" t="s">
        <v>55</v>
      </c>
      <c r="C119">
        <v>3</v>
      </c>
      <c r="D119">
        <f t="shared" si="1"/>
        <v>0</v>
      </c>
    </row>
    <row r="120" spans="1:4" x14ac:dyDescent="0.3">
      <c r="A120" s="21">
        <v>4.1799999999999997E-2</v>
      </c>
      <c r="B120" s="20" t="s">
        <v>56</v>
      </c>
      <c r="C120">
        <v>3</v>
      </c>
      <c r="D120">
        <f t="shared" si="1"/>
        <v>0</v>
      </c>
    </row>
    <row r="121" spans="1:4" x14ac:dyDescent="0.3">
      <c r="A121" s="18">
        <v>6.2E-2</v>
      </c>
      <c r="B121" s="17" t="s">
        <v>57</v>
      </c>
      <c r="C121">
        <v>3</v>
      </c>
      <c r="D121">
        <f t="shared" si="1"/>
        <v>0</v>
      </c>
    </row>
    <row r="122" spans="1:4" x14ac:dyDescent="0.3">
      <c r="A122" s="21">
        <v>4.7199999999999999E-2</v>
      </c>
      <c r="B122" s="20" t="s">
        <v>58</v>
      </c>
      <c r="C122">
        <v>3</v>
      </c>
      <c r="D122">
        <f t="shared" si="1"/>
        <v>0</v>
      </c>
    </row>
    <row r="123" spans="1:4" x14ac:dyDescent="0.3">
      <c r="A123" s="18">
        <v>3.6200000000000003E-2</v>
      </c>
      <c r="B123" s="17" t="s">
        <v>59</v>
      </c>
      <c r="C123">
        <v>3</v>
      </c>
      <c r="D123">
        <f t="shared" si="1"/>
        <v>0</v>
      </c>
    </row>
    <row r="124" spans="1:4" x14ac:dyDescent="0.3">
      <c r="A124" s="21">
        <v>7.7799999999999994E-2</v>
      </c>
      <c r="B124" s="20" t="s">
        <v>61</v>
      </c>
      <c r="C124">
        <v>3</v>
      </c>
      <c r="D124">
        <f t="shared" si="1"/>
        <v>0</v>
      </c>
    </row>
    <row r="125" spans="1:4" x14ac:dyDescent="0.3">
      <c r="A125" s="18">
        <v>6.9599999999999995E-2</v>
      </c>
      <c r="B125" s="17" t="s">
        <v>63</v>
      </c>
      <c r="C125">
        <v>3</v>
      </c>
      <c r="D125">
        <f t="shared" si="1"/>
        <v>0</v>
      </c>
    </row>
    <row r="126" spans="1:4" x14ac:dyDescent="0.3">
      <c r="A126" s="21">
        <v>4.8300000000000003E-2</v>
      </c>
      <c r="B126" s="20" t="s">
        <v>64</v>
      </c>
      <c r="C126">
        <v>3</v>
      </c>
      <c r="D126">
        <f t="shared" si="1"/>
        <v>0</v>
      </c>
    </row>
    <row r="127" spans="1:4" x14ac:dyDescent="0.3">
      <c r="A127" s="18">
        <v>3.5400000000000001E-2</v>
      </c>
      <c r="B127" s="17" t="s">
        <v>66</v>
      </c>
      <c r="C127">
        <v>3</v>
      </c>
      <c r="D127">
        <f t="shared" si="1"/>
        <v>0</v>
      </c>
    </row>
    <row r="128" spans="1:4" x14ac:dyDescent="0.3">
      <c r="A128" s="21">
        <v>0.1168</v>
      </c>
      <c r="B128" s="20" t="s">
        <v>20</v>
      </c>
      <c r="C128">
        <v>4</v>
      </c>
      <c r="D128">
        <f t="shared" si="1"/>
        <v>0</v>
      </c>
    </row>
    <row r="129" spans="1:4" x14ac:dyDescent="0.3">
      <c r="A129" s="18">
        <v>0.13059999999999999</v>
      </c>
      <c r="B129" s="17" t="s">
        <v>21</v>
      </c>
      <c r="C129">
        <v>4</v>
      </c>
      <c r="D129">
        <f t="shared" si="1"/>
        <v>0</v>
      </c>
    </row>
    <row r="130" spans="1:4" x14ac:dyDescent="0.3">
      <c r="A130" s="21">
        <v>0.1434</v>
      </c>
      <c r="B130" s="20" t="s">
        <v>22</v>
      </c>
      <c r="C130">
        <v>4</v>
      </c>
      <c r="D130">
        <f t="shared" ref="D130:D193" si="2">IF(C130&gt;5,1,0)</f>
        <v>0</v>
      </c>
    </row>
    <row r="131" spans="1:4" x14ac:dyDescent="0.3">
      <c r="A131" s="18">
        <v>6.0600000000000001E-2</v>
      </c>
      <c r="B131" s="17" t="s">
        <v>23</v>
      </c>
      <c r="C131">
        <v>4</v>
      </c>
      <c r="D131">
        <f t="shared" si="2"/>
        <v>0</v>
      </c>
    </row>
    <row r="132" spans="1:4" x14ac:dyDescent="0.3">
      <c r="A132" s="21">
        <v>0.13589999999999999</v>
      </c>
      <c r="B132" s="20" t="s">
        <v>24</v>
      </c>
      <c r="C132">
        <v>4</v>
      </c>
      <c r="D132">
        <f t="shared" si="2"/>
        <v>0</v>
      </c>
    </row>
    <row r="133" spans="1:4" x14ac:dyDescent="0.3">
      <c r="A133" s="18">
        <v>4.0899999999999999E-2</v>
      </c>
      <c r="B133" s="17" t="s">
        <v>25</v>
      </c>
      <c r="C133">
        <v>4</v>
      </c>
      <c r="D133">
        <f t="shared" si="2"/>
        <v>0</v>
      </c>
    </row>
    <row r="134" spans="1:4" x14ac:dyDescent="0.3">
      <c r="A134" s="21">
        <v>0.12130000000000001</v>
      </c>
      <c r="B134" s="20" t="s">
        <v>26</v>
      </c>
      <c r="C134">
        <v>4</v>
      </c>
      <c r="D134">
        <f t="shared" si="2"/>
        <v>0</v>
      </c>
    </row>
    <row r="135" spans="1:4" x14ac:dyDescent="0.3">
      <c r="A135" s="18">
        <v>5.3100000000000001E-2</v>
      </c>
      <c r="B135" s="17" t="s">
        <v>27</v>
      </c>
      <c r="C135">
        <v>4</v>
      </c>
      <c r="D135">
        <f t="shared" si="2"/>
        <v>0</v>
      </c>
    </row>
    <row r="136" spans="1:4" x14ac:dyDescent="0.3">
      <c r="A136" s="21">
        <v>0.1137</v>
      </c>
      <c r="B136" s="20" t="s">
        <v>28</v>
      </c>
      <c r="C136">
        <v>4</v>
      </c>
      <c r="D136">
        <f t="shared" si="2"/>
        <v>0</v>
      </c>
    </row>
    <row r="137" spans="1:4" x14ac:dyDescent="0.3">
      <c r="A137" s="18">
        <v>0.1308</v>
      </c>
      <c r="B137" s="17" t="s">
        <v>29</v>
      </c>
      <c r="C137">
        <v>4</v>
      </c>
      <c r="D137">
        <f t="shared" si="2"/>
        <v>0</v>
      </c>
    </row>
    <row r="138" spans="1:4" x14ac:dyDescent="0.3">
      <c r="A138" s="21">
        <v>0.14299999999999999</v>
      </c>
      <c r="B138" s="20" t="s">
        <v>30</v>
      </c>
      <c r="C138">
        <v>4</v>
      </c>
      <c r="D138">
        <f t="shared" si="2"/>
        <v>0</v>
      </c>
    </row>
    <row r="139" spans="1:4" x14ac:dyDescent="0.3">
      <c r="A139" s="18">
        <v>0.12859999999999999</v>
      </c>
      <c r="B139" s="17" t="s">
        <v>32</v>
      </c>
      <c r="C139">
        <v>4</v>
      </c>
      <c r="D139">
        <f t="shared" si="2"/>
        <v>0</v>
      </c>
    </row>
    <row r="140" spans="1:4" x14ac:dyDescent="0.3">
      <c r="A140" s="21">
        <v>8.2299999999999998E-2</v>
      </c>
      <c r="B140" s="20" t="s">
        <v>33</v>
      </c>
      <c r="C140">
        <v>4</v>
      </c>
      <c r="D140">
        <f t="shared" si="2"/>
        <v>0</v>
      </c>
    </row>
    <row r="141" spans="1:4" x14ac:dyDescent="0.3">
      <c r="A141" s="18">
        <v>0.16089999999999999</v>
      </c>
      <c r="B141" s="17" t="s">
        <v>34</v>
      </c>
      <c r="C141">
        <v>4</v>
      </c>
      <c r="D141">
        <f t="shared" si="2"/>
        <v>0</v>
      </c>
    </row>
    <row r="142" spans="1:4" x14ac:dyDescent="0.3">
      <c r="A142" s="21">
        <v>0.18149999999999999</v>
      </c>
      <c r="B142" s="20" t="s">
        <v>35</v>
      </c>
      <c r="C142">
        <v>4</v>
      </c>
      <c r="D142">
        <f t="shared" si="2"/>
        <v>0</v>
      </c>
    </row>
    <row r="143" spans="1:4" x14ac:dyDescent="0.3">
      <c r="A143" s="18">
        <v>5.8000000000000003E-2</v>
      </c>
      <c r="B143" s="17" t="s">
        <v>36</v>
      </c>
      <c r="C143">
        <v>4</v>
      </c>
      <c r="D143">
        <f t="shared" si="2"/>
        <v>0</v>
      </c>
    </row>
    <row r="144" spans="1:4" x14ac:dyDescent="0.3">
      <c r="A144" s="21">
        <v>5.0299999999999997E-2</v>
      </c>
      <c r="B144" s="20" t="s">
        <v>37</v>
      </c>
      <c r="C144">
        <v>4</v>
      </c>
      <c r="D144">
        <f t="shared" si="2"/>
        <v>0</v>
      </c>
    </row>
    <row r="145" spans="1:4" x14ac:dyDescent="0.3">
      <c r="A145" s="18">
        <v>8.2100000000000006E-2</v>
      </c>
      <c r="B145" s="17" t="s">
        <v>38</v>
      </c>
      <c r="C145">
        <v>4</v>
      </c>
      <c r="D145">
        <f t="shared" si="2"/>
        <v>0</v>
      </c>
    </row>
    <row r="146" spans="1:4" x14ac:dyDescent="0.3">
      <c r="A146" s="21">
        <v>3.44E-2</v>
      </c>
      <c r="B146" s="20" t="s">
        <v>39</v>
      </c>
      <c r="C146">
        <v>4</v>
      </c>
      <c r="D146">
        <f t="shared" si="2"/>
        <v>0</v>
      </c>
    </row>
    <row r="147" spans="1:4" x14ac:dyDescent="0.3">
      <c r="A147" s="18">
        <v>0.31830000000000003</v>
      </c>
      <c r="B147" s="17" t="s">
        <v>40</v>
      </c>
      <c r="C147">
        <v>4</v>
      </c>
      <c r="D147">
        <f t="shared" si="2"/>
        <v>0</v>
      </c>
    </row>
    <row r="148" spans="1:4" x14ac:dyDescent="0.3">
      <c r="A148" s="21">
        <v>0.14810000000000001</v>
      </c>
      <c r="B148" s="20" t="s">
        <v>41</v>
      </c>
      <c r="C148">
        <v>4</v>
      </c>
      <c r="D148">
        <f t="shared" si="2"/>
        <v>0</v>
      </c>
    </row>
    <row r="149" spans="1:4" x14ac:dyDescent="0.3">
      <c r="A149" s="18">
        <v>9.8900000000000002E-2</v>
      </c>
      <c r="B149" s="17" t="s">
        <v>42</v>
      </c>
      <c r="C149">
        <v>4</v>
      </c>
      <c r="D149">
        <f t="shared" si="2"/>
        <v>0</v>
      </c>
    </row>
    <row r="150" spans="1:4" x14ac:dyDescent="0.3">
      <c r="A150" s="21">
        <v>5.8999999999999997E-2</v>
      </c>
      <c r="B150" s="20" t="s">
        <v>43</v>
      </c>
      <c r="C150">
        <v>4</v>
      </c>
      <c r="D150">
        <f t="shared" si="2"/>
        <v>0</v>
      </c>
    </row>
    <row r="151" spans="1:4" x14ac:dyDescent="0.3">
      <c r="A151" s="18">
        <v>0.1178</v>
      </c>
      <c r="B151" s="17" t="s">
        <v>44</v>
      </c>
      <c r="C151">
        <v>4</v>
      </c>
      <c r="D151">
        <f t="shared" si="2"/>
        <v>0</v>
      </c>
    </row>
    <row r="152" spans="1:4" x14ac:dyDescent="0.3">
      <c r="A152" s="21">
        <v>6.2E-2</v>
      </c>
      <c r="B152" s="20" t="s">
        <v>45</v>
      </c>
      <c r="C152">
        <v>4</v>
      </c>
      <c r="D152">
        <f t="shared" si="2"/>
        <v>0</v>
      </c>
    </row>
    <row r="153" spans="1:4" x14ac:dyDescent="0.3">
      <c r="A153" s="18">
        <v>7.0499999999999993E-2</v>
      </c>
      <c r="B153" s="17" t="s">
        <v>46</v>
      </c>
      <c r="C153">
        <v>4</v>
      </c>
      <c r="D153">
        <f t="shared" si="2"/>
        <v>0</v>
      </c>
    </row>
    <row r="154" spans="1:4" x14ac:dyDescent="0.3">
      <c r="A154" s="21">
        <v>8.1799999999999998E-2</v>
      </c>
      <c r="B154" s="20" t="s">
        <v>47</v>
      </c>
      <c r="C154">
        <v>4</v>
      </c>
      <c r="D154">
        <f t="shared" si="2"/>
        <v>0</v>
      </c>
    </row>
    <row r="155" spans="1:4" x14ac:dyDescent="0.3">
      <c r="A155" s="18">
        <v>8.7999999999999995E-2</v>
      </c>
      <c r="B155" s="17" t="s">
        <v>48</v>
      </c>
      <c r="C155">
        <v>4</v>
      </c>
      <c r="D155">
        <f t="shared" si="2"/>
        <v>0</v>
      </c>
    </row>
    <row r="156" spans="1:4" x14ac:dyDescent="0.3">
      <c r="A156" s="21">
        <v>5.1999999999999998E-2</v>
      </c>
      <c r="B156" s="20" t="s">
        <v>49</v>
      </c>
      <c r="C156">
        <v>4</v>
      </c>
      <c r="D156">
        <f t="shared" si="2"/>
        <v>0</v>
      </c>
    </row>
    <row r="157" spans="1:4" x14ac:dyDescent="0.3">
      <c r="A157" s="18">
        <v>4.07E-2</v>
      </c>
      <c r="B157" s="17" t="s">
        <v>50</v>
      </c>
      <c r="C157">
        <v>4</v>
      </c>
      <c r="D157">
        <f t="shared" si="2"/>
        <v>0</v>
      </c>
    </row>
    <row r="158" spans="1:4" x14ac:dyDescent="0.3">
      <c r="A158" s="21">
        <v>8.2100000000000006E-2</v>
      </c>
      <c r="B158" s="20" t="s">
        <v>51</v>
      </c>
      <c r="C158">
        <v>4</v>
      </c>
      <c r="D158">
        <f t="shared" si="2"/>
        <v>0</v>
      </c>
    </row>
    <row r="159" spans="1:4" x14ac:dyDescent="0.3">
      <c r="A159" s="18">
        <v>4.9299999999999997E-2</v>
      </c>
      <c r="B159" s="17" t="s">
        <v>52</v>
      </c>
      <c r="C159">
        <v>4</v>
      </c>
      <c r="D159">
        <f t="shared" si="2"/>
        <v>0</v>
      </c>
    </row>
    <row r="160" spans="1:4" x14ac:dyDescent="0.3">
      <c r="A160" s="21">
        <v>0.16363200000000003</v>
      </c>
      <c r="B160" s="20" t="s">
        <v>53</v>
      </c>
      <c r="C160">
        <v>4</v>
      </c>
      <c r="D160">
        <f t="shared" si="2"/>
        <v>0</v>
      </c>
    </row>
    <row r="161" spans="1:4" x14ac:dyDescent="0.3">
      <c r="A161" s="18">
        <v>8.6900000000000005E-2</v>
      </c>
      <c r="B161" s="17" t="s">
        <v>55</v>
      </c>
      <c r="C161">
        <v>4</v>
      </c>
      <c r="D161">
        <f t="shared" si="2"/>
        <v>0</v>
      </c>
    </row>
    <row r="162" spans="1:4" x14ac:dyDescent="0.3">
      <c r="A162" s="21">
        <v>4.2700000000000002E-2</v>
      </c>
      <c r="B162" s="20" t="s">
        <v>56</v>
      </c>
      <c r="C162">
        <v>4</v>
      </c>
      <c r="D162">
        <f t="shared" si="2"/>
        <v>0</v>
      </c>
    </row>
    <row r="163" spans="1:4" x14ac:dyDescent="0.3">
      <c r="A163" s="18">
        <v>6.2700000000000006E-2</v>
      </c>
      <c r="B163" s="17" t="s">
        <v>57</v>
      </c>
      <c r="C163">
        <v>4</v>
      </c>
      <c r="D163">
        <f t="shared" si="2"/>
        <v>0</v>
      </c>
    </row>
    <row r="164" spans="1:4" x14ac:dyDescent="0.3">
      <c r="A164" s="21">
        <v>4.9099999999999998E-2</v>
      </c>
      <c r="B164" s="20" t="s">
        <v>58</v>
      </c>
      <c r="C164">
        <v>4</v>
      </c>
      <c r="D164">
        <f t="shared" si="2"/>
        <v>0</v>
      </c>
    </row>
    <row r="165" spans="1:4" x14ac:dyDescent="0.3">
      <c r="A165" s="18">
        <v>3.2899999999999999E-2</v>
      </c>
      <c r="B165" s="17" t="s">
        <v>59</v>
      </c>
      <c r="C165">
        <v>4</v>
      </c>
      <c r="D165">
        <f t="shared" si="2"/>
        <v>0</v>
      </c>
    </row>
    <row r="166" spans="1:4" x14ac:dyDescent="0.3">
      <c r="A166" s="21" t="s">
        <v>54</v>
      </c>
      <c r="B166" s="20" t="s">
        <v>61</v>
      </c>
      <c r="C166">
        <v>4</v>
      </c>
      <c r="D166">
        <f t="shared" si="2"/>
        <v>0</v>
      </c>
    </row>
    <row r="167" spans="1:4" x14ac:dyDescent="0.3">
      <c r="A167" s="18">
        <v>6.7500000000000004E-2</v>
      </c>
      <c r="B167" s="17" t="s">
        <v>63</v>
      </c>
      <c r="C167">
        <v>4</v>
      </c>
      <c r="D167">
        <f t="shared" si="2"/>
        <v>0</v>
      </c>
    </row>
    <row r="168" spans="1:4" x14ac:dyDescent="0.3">
      <c r="A168" s="21">
        <v>4.0300000000000002E-2</v>
      </c>
      <c r="B168" s="20" t="s">
        <v>64</v>
      </c>
      <c r="C168">
        <v>4</v>
      </c>
      <c r="D168">
        <f t="shared" si="2"/>
        <v>0</v>
      </c>
    </row>
    <row r="169" spans="1:4" x14ac:dyDescent="0.3">
      <c r="A169" s="18">
        <v>4.0599999999999997E-2</v>
      </c>
      <c r="B169" s="17" t="s">
        <v>66</v>
      </c>
      <c r="C169">
        <v>4</v>
      </c>
      <c r="D169">
        <f t="shared" si="2"/>
        <v>0</v>
      </c>
    </row>
    <row r="170" spans="1:4" x14ac:dyDescent="0.3">
      <c r="A170" s="21">
        <v>0.13059999999999999</v>
      </c>
      <c r="B170" s="20" t="s">
        <v>20</v>
      </c>
      <c r="C170">
        <v>5</v>
      </c>
      <c r="D170">
        <f t="shared" si="2"/>
        <v>0</v>
      </c>
    </row>
    <row r="171" spans="1:4" x14ac:dyDescent="0.3">
      <c r="A171" s="18">
        <v>0.1386</v>
      </c>
      <c r="B171" s="17" t="s">
        <v>21</v>
      </c>
      <c r="C171">
        <v>5</v>
      </c>
      <c r="D171">
        <f t="shared" si="2"/>
        <v>0</v>
      </c>
    </row>
    <row r="172" spans="1:4" x14ac:dyDescent="0.3">
      <c r="A172" s="21">
        <v>0.1288</v>
      </c>
      <c r="B172" s="20" t="s">
        <v>22</v>
      </c>
      <c r="C172">
        <v>5</v>
      </c>
      <c r="D172">
        <f t="shared" si="2"/>
        <v>0</v>
      </c>
    </row>
    <row r="173" spans="1:4" x14ac:dyDescent="0.3">
      <c r="A173" s="18">
        <v>6.4000000000000001E-2</v>
      </c>
      <c r="B173" s="17" t="s">
        <v>23</v>
      </c>
      <c r="C173">
        <v>5</v>
      </c>
      <c r="D173">
        <f t="shared" si="2"/>
        <v>0</v>
      </c>
    </row>
    <row r="174" spans="1:4" x14ac:dyDescent="0.3">
      <c r="A174" s="21">
        <v>0.17100000000000001</v>
      </c>
      <c r="B174" s="20" t="s">
        <v>24</v>
      </c>
      <c r="C174">
        <v>5</v>
      </c>
      <c r="D174">
        <f t="shared" si="2"/>
        <v>0</v>
      </c>
    </row>
    <row r="175" spans="1:4" x14ac:dyDescent="0.3">
      <c r="A175" s="18">
        <v>7.4700000000000003E-2</v>
      </c>
      <c r="B175" s="17" t="s">
        <v>25</v>
      </c>
      <c r="C175">
        <v>5</v>
      </c>
      <c r="D175">
        <f t="shared" si="2"/>
        <v>0</v>
      </c>
    </row>
    <row r="176" spans="1:4" x14ac:dyDescent="0.3">
      <c r="A176" s="21">
        <v>0.121</v>
      </c>
      <c r="B176" s="20" t="s">
        <v>26</v>
      </c>
      <c r="C176">
        <v>5</v>
      </c>
      <c r="D176">
        <f t="shared" si="2"/>
        <v>0</v>
      </c>
    </row>
    <row r="177" spans="1:4" x14ac:dyDescent="0.3">
      <c r="A177" s="18">
        <v>8.2699999999999996E-2</v>
      </c>
      <c r="B177" s="17" t="s">
        <v>27</v>
      </c>
      <c r="C177">
        <v>5</v>
      </c>
      <c r="D177">
        <f t="shared" si="2"/>
        <v>0</v>
      </c>
    </row>
    <row r="178" spans="1:4" x14ac:dyDescent="0.3">
      <c r="A178" s="21">
        <v>0.15809999999999999</v>
      </c>
      <c r="B178" s="20" t="s">
        <v>28</v>
      </c>
      <c r="C178">
        <v>5</v>
      </c>
      <c r="D178">
        <f t="shared" si="2"/>
        <v>0</v>
      </c>
    </row>
    <row r="179" spans="1:4" x14ac:dyDescent="0.3">
      <c r="A179" s="18">
        <v>0.1542</v>
      </c>
      <c r="B179" s="17" t="s">
        <v>29</v>
      </c>
      <c r="C179">
        <v>5</v>
      </c>
      <c r="D179">
        <f t="shared" si="2"/>
        <v>0</v>
      </c>
    </row>
    <row r="180" spans="1:4" x14ac:dyDescent="0.3">
      <c r="A180" s="21">
        <v>0.16470000000000001</v>
      </c>
      <c r="B180" s="20" t="s">
        <v>30</v>
      </c>
      <c r="C180">
        <v>5</v>
      </c>
      <c r="D180">
        <f t="shared" si="2"/>
        <v>0</v>
      </c>
    </row>
    <row r="181" spans="1:4" x14ac:dyDescent="0.3">
      <c r="A181" s="18">
        <v>0.1242</v>
      </c>
      <c r="B181" s="17" t="s">
        <v>32</v>
      </c>
      <c r="C181">
        <v>5</v>
      </c>
      <c r="D181">
        <f t="shared" si="2"/>
        <v>0</v>
      </c>
    </row>
    <row r="182" spans="1:4" x14ac:dyDescent="0.3">
      <c r="A182" s="21">
        <v>7.7499999999999999E-2</v>
      </c>
      <c r="B182" s="20" t="s">
        <v>33</v>
      </c>
      <c r="C182">
        <v>5</v>
      </c>
      <c r="D182">
        <f t="shared" si="2"/>
        <v>0</v>
      </c>
    </row>
    <row r="183" spans="1:4" x14ac:dyDescent="0.3">
      <c r="A183" s="18">
        <v>0.18629999999999999</v>
      </c>
      <c r="B183" s="17" t="s">
        <v>34</v>
      </c>
      <c r="C183">
        <v>5</v>
      </c>
      <c r="D183">
        <f t="shared" si="2"/>
        <v>0</v>
      </c>
    </row>
    <row r="184" spans="1:4" x14ac:dyDescent="0.3">
      <c r="A184" s="21">
        <v>0.1918</v>
      </c>
      <c r="B184" s="20" t="s">
        <v>35</v>
      </c>
      <c r="C184">
        <v>5</v>
      </c>
      <c r="D184">
        <f t="shared" si="2"/>
        <v>0</v>
      </c>
    </row>
    <row r="185" spans="1:4" x14ac:dyDescent="0.3">
      <c r="A185" s="18">
        <v>7.51E-2</v>
      </c>
      <c r="B185" s="17" t="s">
        <v>36</v>
      </c>
      <c r="C185">
        <v>5</v>
      </c>
      <c r="D185">
        <f t="shared" si="2"/>
        <v>0</v>
      </c>
    </row>
    <row r="186" spans="1:4" x14ac:dyDescent="0.3">
      <c r="A186" s="21">
        <v>6.1899999999999997E-2</v>
      </c>
      <c r="B186" s="20" t="s">
        <v>37</v>
      </c>
      <c r="C186">
        <v>5</v>
      </c>
      <c r="D186">
        <f t="shared" si="2"/>
        <v>0</v>
      </c>
    </row>
    <row r="187" spans="1:4" x14ac:dyDescent="0.3">
      <c r="A187" s="18">
        <v>8.2400000000000001E-2</v>
      </c>
      <c r="B187" s="17" t="s">
        <v>38</v>
      </c>
      <c r="C187">
        <v>5</v>
      </c>
      <c r="D187">
        <f t="shared" si="2"/>
        <v>0</v>
      </c>
    </row>
    <row r="188" spans="1:4" x14ac:dyDescent="0.3">
      <c r="A188" s="21">
        <v>3.1099999999999999E-2</v>
      </c>
      <c r="B188" s="20" t="s">
        <v>39</v>
      </c>
      <c r="C188">
        <v>5</v>
      </c>
      <c r="D188">
        <f t="shared" si="2"/>
        <v>0</v>
      </c>
    </row>
    <row r="189" spans="1:4" x14ac:dyDescent="0.3">
      <c r="A189" s="18">
        <v>0.32850000000000001</v>
      </c>
      <c r="B189" s="17" t="s">
        <v>40</v>
      </c>
      <c r="C189">
        <v>5</v>
      </c>
      <c r="D189">
        <f t="shared" si="2"/>
        <v>0</v>
      </c>
    </row>
    <row r="190" spans="1:4" x14ac:dyDescent="0.3">
      <c r="A190" s="21">
        <v>0.15040000000000001</v>
      </c>
      <c r="B190" s="20" t="s">
        <v>41</v>
      </c>
      <c r="C190">
        <v>5</v>
      </c>
      <c r="D190">
        <f t="shared" si="2"/>
        <v>0</v>
      </c>
    </row>
    <row r="191" spans="1:4" x14ac:dyDescent="0.3">
      <c r="A191" s="18">
        <v>0.10050000000000001</v>
      </c>
      <c r="B191" s="17" t="s">
        <v>42</v>
      </c>
      <c r="C191">
        <v>5</v>
      </c>
      <c r="D191">
        <f t="shared" si="2"/>
        <v>0</v>
      </c>
    </row>
    <row r="192" spans="1:4" x14ac:dyDescent="0.3">
      <c r="A192" s="21">
        <v>5.7099999999999998E-2</v>
      </c>
      <c r="B192" s="20" t="s">
        <v>43</v>
      </c>
      <c r="C192">
        <v>5</v>
      </c>
      <c r="D192">
        <f t="shared" si="2"/>
        <v>0</v>
      </c>
    </row>
    <row r="193" spans="1:4" x14ac:dyDescent="0.3">
      <c r="A193" s="18">
        <v>0.14230000000000001</v>
      </c>
      <c r="B193" s="17" t="s">
        <v>44</v>
      </c>
      <c r="C193">
        <v>5</v>
      </c>
      <c r="D193">
        <f t="shared" si="2"/>
        <v>0</v>
      </c>
    </row>
    <row r="194" spans="1:4" x14ac:dyDescent="0.3">
      <c r="A194" s="21">
        <v>7.4099999999999999E-2</v>
      </c>
      <c r="B194" s="20" t="s">
        <v>45</v>
      </c>
      <c r="C194">
        <v>5</v>
      </c>
      <c r="D194">
        <f t="shared" ref="D194:D257" si="3">IF(C194&gt;5,1,0)</f>
        <v>0</v>
      </c>
    </row>
    <row r="195" spans="1:4" x14ac:dyDescent="0.3">
      <c r="A195" s="18">
        <v>7.4399999999999994E-2</v>
      </c>
      <c r="B195" s="17" t="s">
        <v>46</v>
      </c>
      <c r="C195">
        <v>5</v>
      </c>
      <c r="D195">
        <f t="shared" si="3"/>
        <v>0</v>
      </c>
    </row>
    <row r="196" spans="1:4" x14ac:dyDescent="0.3">
      <c r="A196" s="21">
        <v>7.6200000000000004E-2</v>
      </c>
      <c r="B196" s="20" t="s">
        <v>47</v>
      </c>
      <c r="C196">
        <v>5</v>
      </c>
      <c r="D196">
        <f t="shared" si="3"/>
        <v>0</v>
      </c>
    </row>
    <row r="197" spans="1:4" x14ac:dyDescent="0.3">
      <c r="A197" s="18">
        <v>8.5199999999999998E-2</v>
      </c>
      <c r="B197" s="17" t="s">
        <v>48</v>
      </c>
      <c r="C197">
        <v>5</v>
      </c>
      <c r="D197">
        <f t="shared" si="3"/>
        <v>0</v>
      </c>
    </row>
    <row r="198" spans="1:4" x14ac:dyDescent="0.3">
      <c r="A198" s="21">
        <v>9.7900000000000001E-2</v>
      </c>
      <c r="B198" s="20" t="s">
        <v>49</v>
      </c>
      <c r="C198">
        <v>5</v>
      </c>
      <c r="D198">
        <f t="shared" si="3"/>
        <v>0</v>
      </c>
    </row>
    <row r="199" spans="1:4" x14ac:dyDescent="0.3">
      <c r="A199" s="18">
        <v>4.3799999999999999E-2</v>
      </c>
      <c r="B199" s="17" t="s">
        <v>50</v>
      </c>
      <c r="C199">
        <v>5</v>
      </c>
      <c r="D199">
        <f t="shared" si="3"/>
        <v>0</v>
      </c>
    </row>
    <row r="200" spans="1:4" x14ac:dyDescent="0.3">
      <c r="A200" s="21">
        <v>8.5800000000000001E-2</v>
      </c>
      <c r="B200" s="20" t="s">
        <v>51</v>
      </c>
      <c r="C200">
        <v>5</v>
      </c>
      <c r="D200">
        <f t="shared" si="3"/>
        <v>0</v>
      </c>
    </row>
    <row r="201" spans="1:4" x14ac:dyDescent="0.3">
      <c r="A201" s="18">
        <v>0.10050000000000001</v>
      </c>
      <c r="B201" s="17" t="s">
        <v>52</v>
      </c>
      <c r="C201">
        <v>5</v>
      </c>
      <c r="D201">
        <f t="shared" si="3"/>
        <v>0</v>
      </c>
    </row>
    <row r="202" spans="1:4" x14ac:dyDescent="0.3">
      <c r="A202" s="21">
        <v>0.18861600000000001</v>
      </c>
      <c r="B202" s="20" t="s">
        <v>53</v>
      </c>
      <c r="C202">
        <v>5</v>
      </c>
      <c r="D202">
        <f t="shared" si="3"/>
        <v>0</v>
      </c>
    </row>
    <row r="203" spans="1:4" x14ac:dyDescent="0.3">
      <c r="A203" s="18">
        <v>8.2600000000000007E-2</v>
      </c>
      <c r="B203" s="17" t="s">
        <v>55</v>
      </c>
      <c r="C203">
        <v>5</v>
      </c>
      <c r="D203">
        <f t="shared" si="3"/>
        <v>0</v>
      </c>
    </row>
    <row r="204" spans="1:4" x14ac:dyDescent="0.3">
      <c r="A204" s="21">
        <v>4.2900000000000001E-2</v>
      </c>
      <c r="B204" s="20" t="s">
        <v>56</v>
      </c>
      <c r="C204">
        <v>5</v>
      </c>
      <c r="D204">
        <f t="shared" si="3"/>
        <v>0</v>
      </c>
    </row>
    <row r="205" spans="1:4" x14ac:dyDescent="0.3">
      <c r="A205" s="18">
        <v>5.4899999999999997E-2</v>
      </c>
      <c r="B205" s="17" t="s">
        <v>57</v>
      </c>
      <c r="C205">
        <v>5</v>
      </c>
      <c r="D205">
        <f t="shared" si="3"/>
        <v>0</v>
      </c>
    </row>
    <row r="206" spans="1:4" x14ac:dyDescent="0.3">
      <c r="A206" s="21">
        <v>6.0400000000000002E-2</v>
      </c>
      <c r="B206" s="20" t="s">
        <v>58</v>
      </c>
      <c r="C206">
        <v>5</v>
      </c>
      <c r="D206">
        <f t="shared" si="3"/>
        <v>0</v>
      </c>
    </row>
    <row r="207" spans="1:4" x14ac:dyDescent="0.3">
      <c r="A207" s="18">
        <v>4.02E-2</v>
      </c>
      <c r="B207" s="17" t="s">
        <v>59</v>
      </c>
      <c r="C207">
        <v>5</v>
      </c>
      <c r="D207">
        <f t="shared" si="3"/>
        <v>0</v>
      </c>
    </row>
    <row r="208" spans="1:4" x14ac:dyDescent="0.3">
      <c r="A208" s="21" t="s">
        <v>54</v>
      </c>
      <c r="B208" s="20" t="s">
        <v>61</v>
      </c>
      <c r="C208">
        <v>5</v>
      </c>
      <c r="D208">
        <f t="shared" si="3"/>
        <v>0</v>
      </c>
    </row>
    <row r="209" spans="1:4" x14ac:dyDescent="0.3">
      <c r="A209" s="18">
        <v>6.3500000000000001E-2</v>
      </c>
      <c r="B209" s="17" t="s">
        <v>63</v>
      </c>
      <c r="C209">
        <v>5</v>
      </c>
      <c r="D209">
        <f t="shared" si="3"/>
        <v>0</v>
      </c>
    </row>
    <row r="210" spans="1:4" x14ac:dyDescent="0.3">
      <c r="A210" s="21">
        <v>3.8300000000000001E-2</v>
      </c>
      <c r="B210" s="20" t="s">
        <v>64</v>
      </c>
      <c r="C210">
        <v>5</v>
      </c>
      <c r="D210">
        <f t="shared" si="3"/>
        <v>0</v>
      </c>
    </row>
    <row r="211" spans="1:4" x14ac:dyDescent="0.3">
      <c r="A211" s="18">
        <v>4.2700000000000002E-2</v>
      </c>
      <c r="B211" s="17" t="s">
        <v>66</v>
      </c>
      <c r="C211">
        <v>5</v>
      </c>
      <c r="D211">
        <f t="shared" si="3"/>
        <v>0</v>
      </c>
    </row>
    <row r="212" spans="1:4" x14ac:dyDescent="0.3">
      <c r="A212" s="21">
        <v>0.19750000000000001</v>
      </c>
      <c r="B212" s="20" t="s">
        <v>20</v>
      </c>
      <c r="C212">
        <v>6</v>
      </c>
      <c r="D212">
        <f t="shared" si="3"/>
        <v>1</v>
      </c>
    </row>
    <row r="213" spans="1:4" x14ac:dyDescent="0.3">
      <c r="A213" s="18">
        <v>0.21579999999999999</v>
      </c>
      <c r="B213" s="17" t="s">
        <v>21</v>
      </c>
      <c r="C213">
        <v>6</v>
      </c>
      <c r="D213">
        <f t="shared" si="3"/>
        <v>1</v>
      </c>
    </row>
    <row r="214" spans="1:4" x14ac:dyDescent="0.3">
      <c r="A214" s="21">
        <v>0.30259999999999998</v>
      </c>
      <c r="B214" s="20" t="s">
        <v>22</v>
      </c>
      <c r="C214">
        <v>6</v>
      </c>
      <c r="D214">
        <f t="shared" si="3"/>
        <v>1</v>
      </c>
    </row>
    <row r="215" spans="1:4" x14ac:dyDescent="0.3">
      <c r="A215" s="18">
        <v>5.7700000000000001E-2</v>
      </c>
      <c r="B215" s="17" t="s">
        <v>23</v>
      </c>
      <c r="C215">
        <v>6</v>
      </c>
      <c r="D215">
        <f t="shared" si="3"/>
        <v>1</v>
      </c>
    </row>
    <row r="216" spans="1:4" x14ac:dyDescent="0.3">
      <c r="A216" s="21">
        <v>0.2024</v>
      </c>
      <c r="B216" s="20" t="s">
        <v>24</v>
      </c>
      <c r="C216">
        <v>6</v>
      </c>
      <c r="D216">
        <f t="shared" si="3"/>
        <v>1</v>
      </c>
    </row>
    <row r="217" spans="1:4" x14ac:dyDescent="0.3">
      <c r="A217" s="18">
        <v>0.24340000000000001</v>
      </c>
      <c r="B217" s="17" t="s">
        <v>25</v>
      </c>
      <c r="C217">
        <v>6</v>
      </c>
      <c r="D217">
        <f t="shared" si="3"/>
        <v>1</v>
      </c>
    </row>
    <row r="218" spans="1:4" x14ac:dyDescent="0.3">
      <c r="A218" s="21">
        <v>0.18459999999999999</v>
      </c>
      <c r="B218" s="20" t="s">
        <v>26</v>
      </c>
      <c r="C218">
        <v>6</v>
      </c>
      <c r="D218">
        <f t="shared" si="3"/>
        <v>1</v>
      </c>
    </row>
    <row r="219" spans="1:4" x14ac:dyDescent="0.3">
      <c r="A219" s="18">
        <v>0.1391</v>
      </c>
      <c r="B219" s="17" t="s">
        <v>27</v>
      </c>
      <c r="C219">
        <v>6</v>
      </c>
      <c r="D219">
        <f t="shared" si="3"/>
        <v>1</v>
      </c>
    </row>
    <row r="220" spans="1:4" x14ac:dyDescent="0.3">
      <c r="A220" s="21">
        <v>0.28399999999999997</v>
      </c>
      <c r="B220" s="20" t="s">
        <v>28</v>
      </c>
      <c r="C220">
        <v>6</v>
      </c>
      <c r="D220">
        <f t="shared" si="3"/>
        <v>1</v>
      </c>
    </row>
    <row r="221" spans="1:4" x14ac:dyDescent="0.3">
      <c r="A221" s="18">
        <v>0.38490000000000002</v>
      </c>
      <c r="B221" s="17" t="s">
        <v>29</v>
      </c>
      <c r="C221">
        <v>6</v>
      </c>
      <c r="D221">
        <f t="shared" si="3"/>
        <v>1</v>
      </c>
    </row>
    <row r="222" spans="1:4" x14ac:dyDescent="0.3">
      <c r="A222" s="21">
        <v>0.2329</v>
      </c>
      <c r="B222" s="20" t="s">
        <v>30</v>
      </c>
      <c r="C222">
        <v>6</v>
      </c>
      <c r="D222">
        <f t="shared" si="3"/>
        <v>1</v>
      </c>
    </row>
    <row r="223" spans="1:4" x14ac:dyDescent="0.3">
      <c r="A223" s="18">
        <v>0.16400000000000001</v>
      </c>
      <c r="B223" s="17" t="s">
        <v>32</v>
      </c>
      <c r="C223">
        <v>6</v>
      </c>
      <c r="D223">
        <f t="shared" si="3"/>
        <v>1</v>
      </c>
    </row>
    <row r="224" spans="1:4" x14ac:dyDescent="0.3">
      <c r="A224" s="21">
        <v>9.3700000000000006E-2</v>
      </c>
      <c r="B224" s="20" t="s">
        <v>33</v>
      </c>
      <c r="C224">
        <v>6</v>
      </c>
      <c r="D224">
        <f t="shared" si="3"/>
        <v>1</v>
      </c>
    </row>
    <row r="225" spans="1:4" x14ac:dyDescent="0.3">
      <c r="A225" s="18">
        <v>0.33239999999999997</v>
      </c>
      <c r="B225" s="17" t="s">
        <v>34</v>
      </c>
      <c r="C225">
        <v>6</v>
      </c>
      <c r="D225">
        <f t="shared" si="3"/>
        <v>1</v>
      </c>
    </row>
    <row r="226" spans="1:4" x14ac:dyDescent="0.3">
      <c r="A226" s="21">
        <v>0.25430000000000003</v>
      </c>
      <c r="B226" s="20" t="s">
        <v>35</v>
      </c>
      <c r="C226">
        <v>6</v>
      </c>
      <c r="D226">
        <f t="shared" si="3"/>
        <v>1</v>
      </c>
    </row>
    <row r="227" spans="1:4" x14ac:dyDescent="0.3">
      <c r="A227" s="18">
        <v>0.16089999999999999</v>
      </c>
      <c r="B227" s="17" t="s">
        <v>36</v>
      </c>
      <c r="C227">
        <v>6</v>
      </c>
      <c r="D227">
        <f t="shared" si="3"/>
        <v>1</v>
      </c>
    </row>
    <row r="228" spans="1:4" x14ac:dyDescent="0.3">
      <c r="A228" s="21">
        <v>0.1396</v>
      </c>
      <c r="B228" s="20" t="s">
        <v>37</v>
      </c>
      <c r="C228">
        <v>6</v>
      </c>
      <c r="D228">
        <f t="shared" si="3"/>
        <v>1</v>
      </c>
    </row>
    <row r="229" spans="1:4" x14ac:dyDescent="0.3">
      <c r="A229" s="18">
        <v>0.1041</v>
      </c>
      <c r="B229" s="17" t="s">
        <v>38</v>
      </c>
      <c r="C229">
        <v>6</v>
      </c>
      <c r="D229">
        <f t="shared" si="3"/>
        <v>1</v>
      </c>
    </row>
    <row r="230" spans="1:4" x14ac:dyDescent="0.3">
      <c r="A230" s="21">
        <v>1.84E-2</v>
      </c>
      <c r="B230" s="20" t="s">
        <v>39</v>
      </c>
      <c r="C230">
        <v>6</v>
      </c>
      <c r="D230">
        <f t="shared" si="3"/>
        <v>1</v>
      </c>
    </row>
    <row r="231" spans="1:4" x14ac:dyDescent="0.3">
      <c r="A231" s="18">
        <v>0.3392</v>
      </c>
      <c r="B231" s="17" t="s">
        <v>40</v>
      </c>
      <c r="C231">
        <v>6</v>
      </c>
      <c r="D231">
        <f t="shared" si="3"/>
        <v>1</v>
      </c>
    </row>
    <row r="232" spans="1:4" x14ac:dyDescent="0.3">
      <c r="A232" s="21">
        <v>0.28160000000000002</v>
      </c>
      <c r="B232" s="20" t="s">
        <v>41</v>
      </c>
      <c r="C232">
        <v>6</v>
      </c>
      <c r="D232">
        <f t="shared" si="3"/>
        <v>1</v>
      </c>
    </row>
    <row r="233" spans="1:4" x14ac:dyDescent="0.3">
      <c r="A233" s="18">
        <v>0.15210000000000001</v>
      </c>
      <c r="B233" s="17" t="s">
        <v>42</v>
      </c>
      <c r="C233">
        <v>6</v>
      </c>
      <c r="D233">
        <f t="shared" si="3"/>
        <v>1</v>
      </c>
    </row>
    <row r="234" spans="1:4" x14ac:dyDescent="0.3">
      <c r="A234" s="21">
        <v>6.4899999999999999E-2</v>
      </c>
      <c r="B234" s="20" t="s">
        <v>43</v>
      </c>
      <c r="C234">
        <v>6</v>
      </c>
      <c r="D234">
        <f t="shared" si="3"/>
        <v>1</v>
      </c>
    </row>
    <row r="235" spans="1:4" x14ac:dyDescent="0.3">
      <c r="A235" s="18">
        <v>0.23630000000000001</v>
      </c>
      <c r="B235" s="17" t="s">
        <v>44</v>
      </c>
      <c r="C235">
        <v>6</v>
      </c>
      <c r="D235">
        <f t="shared" si="3"/>
        <v>1</v>
      </c>
    </row>
    <row r="236" spans="1:4" x14ac:dyDescent="0.3">
      <c r="A236" s="21">
        <v>0.1739</v>
      </c>
      <c r="B236" s="20" t="s">
        <v>45</v>
      </c>
      <c r="C236">
        <v>6</v>
      </c>
      <c r="D236">
        <f t="shared" si="3"/>
        <v>1</v>
      </c>
    </row>
    <row r="237" spans="1:4" x14ac:dyDescent="0.3">
      <c r="A237" s="18">
        <v>9.1999999999999998E-2</v>
      </c>
      <c r="B237" s="17" t="s">
        <v>46</v>
      </c>
      <c r="C237">
        <v>6</v>
      </c>
      <c r="D237">
        <f t="shared" si="3"/>
        <v>1</v>
      </c>
    </row>
    <row r="238" spans="1:4" x14ac:dyDescent="0.3">
      <c r="A238" s="21">
        <v>0.10150000000000001</v>
      </c>
      <c r="B238" s="20" t="s">
        <v>47</v>
      </c>
      <c r="C238">
        <v>6</v>
      </c>
      <c r="D238">
        <f t="shared" si="3"/>
        <v>1</v>
      </c>
    </row>
    <row r="239" spans="1:4" x14ac:dyDescent="0.3">
      <c r="A239" s="18">
        <v>0.13239999999999999</v>
      </c>
      <c r="B239" s="17" t="s">
        <v>48</v>
      </c>
      <c r="C239">
        <v>6</v>
      </c>
      <c r="D239">
        <f t="shared" si="3"/>
        <v>1</v>
      </c>
    </row>
    <row r="240" spans="1:4" x14ac:dyDescent="0.3">
      <c r="A240" s="21">
        <v>0.15390000000000001</v>
      </c>
      <c r="B240" s="20" t="s">
        <v>49</v>
      </c>
      <c r="C240">
        <v>6</v>
      </c>
      <c r="D240">
        <f t="shared" si="3"/>
        <v>1</v>
      </c>
    </row>
    <row r="241" spans="1:4" x14ac:dyDescent="0.3">
      <c r="A241" s="18">
        <v>4.7399999999999998E-2</v>
      </c>
      <c r="B241" s="17" t="s">
        <v>50</v>
      </c>
      <c r="C241">
        <v>6</v>
      </c>
      <c r="D241">
        <f t="shared" si="3"/>
        <v>1</v>
      </c>
    </row>
    <row r="242" spans="1:4" x14ac:dyDescent="0.3">
      <c r="A242" s="21">
        <v>9.4700000000000006E-2</v>
      </c>
      <c r="B242" s="20" t="s">
        <v>51</v>
      </c>
      <c r="C242">
        <v>6</v>
      </c>
      <c r="D242">
        <f t="shared" si="3"/>
        <v>1</v>
      </c>
    </row>
    <row r="243" spans="1:4" x14ac:dyDescent="0.3">
      <c r="A243" s="18">
        <v>0.1764</v>
      </c>
      <c r="B243" s="17" t="s">
        <v>52</v>
      </c>
      <c r="C243">
        <v>6</v>
      </c>
      <c r="D243">
        <f t="shared" si="3"/>
        <v>1</v>
      </c>
    </row>
    <row r="244" spans="1:4" x14ac:dyDescent="0.3">
      <c r="A244" s="21">
        <v>0.271791</v>
      </c>
      <c r="B244" s="20" t="s">
        <v>53</v>
      </c>
      <c r="C244">
        <v>6</v>
      </c>
      <c r="D244">
        <f t="shared" si="3"/>
        <v>1</v>
      </c>
    </row>
    <row r="245" spans="1:4" x14ac:dyDescent="0.3">
      <c r="A245" s="18">
        <v>8.4500000000000006E-2</v>
      </c>
      <c r="B245" s="17" t="s">
        <v>55</v>
      </c>
      <c r="C245">
        <v>6</v>
      </c>
      <c r="D245">
        <f t="shared" si="3"/>
        <v>1</v>
      </c>
    </row>
    <row r="246" spans="1:4" x14ac:dyDescent="0.3">
      <c r="A246" s="21">
        <v>4.2799999999999998E-2</v>
      </c>
      <c r="B246" s="20" t="s">
        <v>56</v>
      </c>
      <c r="C246">
        <v>6</v>
      </c>
      <c r="D246">
        <f t="shared" si="3"/>
        <v>1</v>
      </c>
    </row>
    <row r="247" spans="1:4" x14ac:dyDescent="0.3">
      <c r="A247" s="18">
        <v>0.10249999999999999</v>
      </c>
      <c r="B247" s="17" t="s">
        <v>57</v>
      </c>
      <c r="C247">
        <v>6</v>
      </c>
      <c r="D247">
        <f t="shared" si="3"/>
        <v>1</v>
      </c>
    </row>
    <row r="248" spans="1:4" x14ac:dyDescent="0.3">
      <c r="A248" s="21">
        <v>5.2999999999999999E-2</v>
      </c>
      <c r="B248" s="20" t="s">
        <v>58</v>
      </c>
      <c r="C248">
        <v>6</v>
      </c>
      <c r="D248">
        <f t="shared" si="3"/>
        <v>1</v>
      </c>
    </row>
    <row r="249" spans="1:4" x14ac:dyDescent="0.3">
      <c r="A249" s="18">
        <v>5.5100000000000003E-2</v>
      </c>
      <c r="B249" s="17" t="s">
        <v>59</v>
      </c>
      <c r="C249">
        <v>6</v>
      </c>
      <c r="D249">
        <f t="shared" si="3"/>
        <v>1</v>
      </c>
    </row>
    <row r="250" spans="1:4" x14ac:dyDescent="0.3">
      <c r="A250" s="21">
        <v>1.9099999999999999E-2</v>
      </c>
      <c r="B250" s="20" t="s">
        <v>61</v>
      </c>
      <c r="C250">
        <v>6</v>
      </c>
      <c r="D250">
        <f t="shared" si="3"/>
        <v>1</v>
      </c>
    </row>
    <row r="251" spans="1:4" x14ac:dyDescent="0.3">
      <c r="A251" s="18">
        <v>6.8599999999999994E-2</v>
      </c>
      <c r="B251" s="17" t="s">
        <v>63</v>
      </c>
      <c r="C251">
        <v>6</v>
      </c>
      <c r="D251">
        <f t="shared" si="3"/>
        <v>1</v>
      </c>
    </row>
    <row r="252" spans="1:4" x14ac:dyDescent="0.3">
      <c r="A252" s="21">
        <v>5.2200000000000003E-2</v>
      </c>
      <c r="B252" s="20" t="s">
        <v>64</v>
      </c>
      <c r="C252">
        <v>6</v>
      </c>
      <c r="D252">
        <f t="shared" si="3"/>
        <v>1</v>
      </c>
    </row>
    <row r="253" spans="1:4" x14ac:dyDescent="0.3">
      <c r="A253" s="18">
        <v>3.2300000000000002E-2</v>
      </c>
      <c r="B253" s="17" t="s">
        <v>66</v>
      </c>
      <c r="C253">
        <v>6</v>
      </c>
      <c r="D253">
        <f t="shared" si="3"/>
        <v>1</v>
      </c>
    </row>
    <row r="254" spans="1:4" x14ac:dyDescent="0.3">
      <c r="A254" s="21">
        <v>0.21579999999999999</v>
      </c>
      <c r="B254" s="20" t="s">
        <v>20</v>
      </c>
      <c r="C254">
        <v>7</v>
      </c>
      <c r="D254">
        <f t="shared" si="3"/>
        <v>1</v>
      </c>
    </row>
    <row r="255" spans="1:4" x14ac:dyDescent="0.3">
      <c r="A255" s="18">
        <v>0.2379</v>
      </c>
      <c r="B255" s="17" t="s">
        <v>21</v>
      </c>
      <c r="C255">
        <v>7</v>
      </c>
      <c r="D255">
        <f t="shared" si="3"/>
        <v>1</v>
      </c>
    </row>
    <row r="256" spans="1:4" x14ac:dyDescent="0.3">
      <c r="A256" s="21">
        <v>0.2495</v>
      </c>
      <c r="B256" s="20" t="s">
        <v>22</v>
      </c>
      <c r="C256">
        <v>7</v>
      </c>
      <c r="D256">
        <f t="shared" si="3"/>
        <v>1</v>
      </c>
    </row>
    <row r="257" spans="1:4" x14ac:dyDescent="0.3">
      <c r="A257" s="18">
        <v>5.62E-2</v>
      </c>
      <c r="B257" s="17" t="s">
        <v>23</v>
      </c>
      <c r="C257">
        <v>7</v>
      </c>
      <c r="D257">
        <f t="shared" si="3"/>
        <v>1</v>
      </c>
    </row>
    <row r="258" spans="1:4" x14ac:dyDescent="0.3">
      <c r="A258" s="21">
        <v>0.28670000000000001</v>
      </c>
      <c r="B258" s="20" t="s">
        <v>24</v>
      </c>
      <c r="C258">
        <v>7</v>
      </c>
      <c r="D258">
        <f t="shared" ref="D258:D321" si="4">IF(C258&gt;5,1,0)</f>
        <v>1</v>
      </c>
    </row>
    <row r="259" spans="1:4" x14ac:dyDescent="0.3">
      <c r="A259" s="18">
        <v>0.16450000000000001</v>
      </c>
      <c r="B259" s="17" t="s">
        <v>25</v>
      </c>
      <c r="C259">
        <v>7</v>
      </c>
      <c r="D259">
        <f t="shared" si="4"/>
        <v>1</v>
      </c>
    </row>
    <row r="260" spans="1:4" x14ac:dyDescent="0.3">
      <c r="A260" s="21">
        <v>0.25159999999999999</v>
      </c>
      <c r="B260" s="20" t="s">
        <v>26</v>
      </c>
      <c r="C260">
        <v>7</v>
      </c>
      <c r="D260">
        <f t="shared" si="4"/>
        <v>1</v>
      </c>
    </row>
    <row r="261" spans="1:4" x14ac:dyDescent="0.3">
      <c r="A261" s="18">
        <v>0.1444</v>
      </c>
      <c r="B261" s="17" t="s">
        <v>27</v>
      </c>
      <c r="C261">
        <v>7</v>
      </c>
      <c r="D261">
        <f t="shared" si="4"/>
        <v>1</v>
      </c>
    </row>
    <row r="262" spans="1:4" x14ac:dyDescent="0.3">
      <c r="A262" s="21">
        <v>0.42259999999999998</v>
      </c>
      <c r="B262" s="20" t="s">
        <v>28</v>
      </c>
      <c r="C262">
        <v>7</v>
      </c>
      <c r="D262">
        <f t="shared" si="4"/>
        <v>1</v>
      </c>
    </row>
    <row r="263" spans="1:4" x14ac:dyDescent="0.3">
      <c r="A263" s="18">
        <v>0.3231</v>
      </c>
      <c r="B263" s="17" t="s">
        <v>29</v>
      </c>
      <c r="C263">
        <v>7</v>
      </c>
      <c r="D263">
        <f t="shared" si="4"/>
        <v>1</v>
      </c>
    </row>
    <row r="264" spans="1:4" x14ac:dyDescent="0.3">
      <c r="A264" s="21">
        <v>0.18260000000000001</v>
      </c>
      <c r="B264" s="20" t="s">
        <v>30</v>
      </c>
      <c r="C264">
        <v>7</v>
      </c>
      <c r="D264">
        <f t="shared" si="4"/>
        <v>1</v>
      </c>
    </row>
    <row r="265" spans="1:4" x14ac:dyDescent="0.3">
      <c r="A265" s="18">
        <v>0.19450000000000001</v>
      </c>
      <c r="B265" s="17" t="s">
        <v>32</v>
      </c>
      <c r="C265">
        <v>7</v>
      </c>
      <c r="D265">
        <f t="shared" si="4"/>
        <v>1</v>
      </c>
    </row>
    <row r="266" spans="1:4" x14ac:dyDescent="0.3">
      <c r="A266" s="21">
        <v>0.1028</v>
      </c>
      <c r="B266" s="20" t="s">
        <v>33</v>
      </c>
      <c r="C266">
        <v>7</v>
      </c>
      <c r="D266">
        <f t="shared" si="4"/>
        <v>1</v>
      </c>
    </row>
    <row r="267" spans="1:4" x14ac:dyDescent="0.3">
      <c r="A267" s="18">
        <v>0.31240000000000001</v>
      </c>
      <c r="B267" s="17" t="s">
        <v>34</v>
      </c>
      <c r="C267">
        <v>7</v>
      </c>
      <c r="D267">
        <f t="shared" si="4"/>
        <v>1</v>
      </c>
    </row>
    <row r="268" spans="1:4" x14ac:dyDescent="0.3">
      <c r="A268" s="21">
        <v>0.29530000000000001</v>
      </c>
      <c r="B268" s="20" t="s">
        <v>35</v>
      </c>
      <c r="C268">
        <v>7</v>
      </c>
      <c r="D268">
        <f t="shared" si="4"/>
        <v>1</v>
      </c>
    </row>
    <row r="269" spans="1:4" x14ac:dyDescent="0.3">
      <c r="A269" s="18">
        <v>0.2056</v>
      </c>
      <c r="B269" s="17" t="s">
        <v>36</v>
      </c>
      <c r="C269">
        <v>7</v>
      </c>
      <c r="D269">
        <f t="shared" si="4"/>
        <v>1</v>
      </c>
    </row>
    <row r="270" spans="1:4" x14ac:dyDescent="0.3">
      <c r="A270" s="21">
        <v>0.1704</v>
      </c>
      <c r="B270" s="20" t="s">
        <v>37</v>
      </c>
      <c r="C270">
        <v>7</v>
      </c>
      <c r="D270">
        <f t="shared" si="4"/>
        <v>1</v>
      </c>
    </row>
    <row r="271" spans="1:4" x14ac:dyDescent="0.3">
      <c r="A271" s="18">
        <v>0.18559999999999999</v>
      </c>
      <c r="B271" s="17" t="s">
        <v>38</v>
      </c>
      <c r="C271">
        <v>7</v>
      </c>
      <c r="D271">
        <f t="shared" si="4"/>
        <v>1</v>
      </c>
    </row>
    <row r="272" spans="1:4" x14ac:dyDescent="0.3">
      <c r="A272" s="21">
        <v>2.2000000000000001E-3</v>
      </c>
      <c r="B272" s="20" t="s">
        <v>39</v>
      </c>
      <c r="C272">
        <v>7</v>
      </c>
      <c r="D272">
        <f t="shared" si="4"/>
        <v>1</v>
      </c>
    </row>
    <row r="273" spans="1:4" x14ac:dyDescent="0.3">
      <c r="A273" s="18">
        <v>0.30759999999999998</v>
      </c>
      <c r="B273" s="17" t="s">
        <v>40</v>
      </c>
      <c r="C273">
        <v>7</v>
      </c>
      <c r="D273">
        <f t="shared" si="4"/>
        <v>1</v>
      </c>
    </row>
    <row r="274" spans="1:4" x14ac:dyDescent="0.3">
      <c r="A274" s="21">
        <v>0.35339999999999999</v>
      </c>
      <c r="B274" s="20" t="s">
        <v>41</v>
      </c>
      <c r="C274">
        <v>7</v>
      </c>
      <c r="D274">
        <f t="shared" si="4"/>
        <v>1</v>
      </c>
    </row>
    <row r="275" spans="1:4" x14ac:dyDescent="0.3">
      <c r="A275" s="18">
        <v>0.25869999999999999</v>
      </c>
      <c r="B275" s="17" t="s">
        <v>42</v>
      </c>
      <c r="C275">
        <v>7</v>
      </c>
      <c r="D275">
        <f t="shared" si="4"/>
        <v>1</v>
      </c>
    </row>
    <row r="276" spans="1:4" x14ac:dyDescent="0.3">
      <c r="A276" s="21">
        <v>5.8599999999999999E-2</v>
      </c>
      <c r="B276" s="20" t="s">
        <v>43</v>
      </c>
      <c r="C276">
        <v>7</v>
      </c>
      <c r="D276">
        <f t="shared" si="4"/>
        <v>1</v>
      </c>
    </row>
    <row r="277" spans="1:4" x14ac:dyDescent="0.3">
      <c r="A277" s="18">
        <v>0.2903</v>
      </c>
      <c r="B277" s="17" t="s">
        <v>44</v>
      </c>
      <c r="C277">
        <v>7</v>
      </c>
      <c r="D277">
        <f t="shared" si="4"/>
        <v>1</v>
      </c>
    </row>
    <row r="278" spans="1:4" x14ac:dyDescent="0.3">
      <c r="A278" s="21">
        <v>5.74E-2</v>
      </c>
      <c r="B278" s="20" t="s">
        <v>45</v>
      </c>
      <c r="C278">
        <v>7</v>
      </c>
      <c r="D278">
        <f t="shared" si="4"/>
        <v>1</v>
      </c>
    </row>
    <row r="279" spans="1:4" x14ac:dyDescent="0.3">
      <c r="A279" s="18">
        <v>0.1042</v>
      </c>
      <c r="B279" s="17" t="s">
        <v>46</v>
      </c>
      <c r="C279">
        <v>7</v>
      </c>
      <c r="D279">
        <f t="shared" si="4"/>
        <v>1</v>
      </c>
    </row>
    <row r="280" spans="1:4" x14ac:dyDescent="0.3">
      <c r="A280" s="21">
        <v>0.12230000000000001</v>
      </c>
      <c r="B280" s="20" t="s">
        <v>47</v>
      </c>
      <c r="C280">
        <v>7</v>
      </c>
      <c r="D280">
        <f t="shared" si="4"/>
        <v>1</v>
      </c>
    </row>
    <row r="281" spans="1:4" x14ac:dyDescent="0.3">
      <c r="A281" s="18">
        <v>0.13</v>
      </c>
      <c r="B281" s="17" t="s">
        <v>48</v>
      </c>
      <c r="C281">
        <v>7</v>
      </c>
      <c r="D281">
        <f t="shared" si="4"/>
        <v>1</v>
      </c>
    </row>
    <row r="282" spans="1:4" x14ac:dyDescent="0.3">
      <c r="A282" s="21">
        <v>0.1017</v>
      </c>
      <c r="B282" s="20" t="s">
        <v>49</v>
      </c>
      <c r="C282">
        <v>7</v>
      </c>
      <c r="D282">
        <f t="shared" si="4"/>
        <v>1</v>
      </c>
    </row>
    <row r="283" spans="1:4" x14ac:dyDescent="0.3">
      <c r="A283" s="18">
        <v>4.7699999999999999E-2</v>
      </c>
      <c r="B283" s="17" t="s">
        <v>50</v>
      </c>
      <c r="C283">
        <v>7</v>
      </c>
      <c r="D283">
        <f t="shared" si="4"/>
        <v>1</v>
      </c>
    </row>
    <row r="284" spans="1:4" x14ac:dyDescent="0.3">
      <c r="A284" s="21">
        <v>0.25240000000000001</v>
      </c>
      <c r="B284" s="20" t="s">
        <v>51</v>
      </c>
      <c r="C284">
        <v>7</v>
      </c>
      <c r="D284">
        <f t="shared" si="4"/>
        <v>1</v>
      </c>
    </row>
    <row r="285" spans="1:4" x14ac:dyDescent="0.3">
      <c r="A285" s="18">
        <v>0.1007</v>
      </c>
      <c r="B285" s="17" t="s">
        <v>52</v>
      </c>
      <c r="C285">
        <v>7</v>
      </c>
      <c r="D285">
        <f t="shared" si="4"/>
        <v>1</v>
      </c>
    </row>
    <row r="286" spans="1:4" x14ac:dyDescent="0.3">
      <c r="A286" s="21">
        <v>0.33119999999999999</v>
      </c>
      <c r="B286" s="20" t="s">
        <v>53</v>
      </c>
      <c r="C286">
        <v>7</v>
      </c>
      <c r="D286">
        <f t="shared" si="4"/>
        <v>1</v>
      </c>
    </row>
    <row r="287" spans="1:4" x14ac:dyDescent="0.3">
      <c r="A287" s="18">
        <v>7.6100000000000001E-2</v>
      </c>
      <c r="B287" s="17" t="s">
        <v>55</v>
      </c>
      <c r="C287">
        <v>7</v>
      </c>
      <c r="D287">
        <f t="shared" si="4"/>
        <v>1</v>
      </c>
    </row>
    <row r="288" spans="1:4" x14ac:dyDescent="0.3">
      <c r="A288" s="21">
        <v>4.2700000000000002E-2</v>
      </c>
      <c r="B288" s="20" t="s">
        <v>56</v>
      </c>
      <c r="C288">
        <v>7</v>
      </c>
      <c r="D288">
        <f t="shared" si="4"/>
        <v>1</v>
      </c>
    </row>
    <row r="289" spans="1:4" x14ac:dyDescent="0.3">
      <c r="A289" s="18">
        <v>0.1168</v>
      </c>
      <c r="B289" s="17" t="s">
        <v>57</v>
      </c>
      <c r="C289">
        <v>7</v>
      </c>
      <c r="D289">
        <f t="shared" si="4"/>
        <v>1</v>
      </c>
    </row>
    <row r="290" spans="1:4" x14ac:dyDescent="0.3">
      <c r="A290" s="21">
        <v>5.4699999999999999E-2</v>
      </c>
      <c r="B290" s="20" t="s">
        <v>58</v>
      </c>
      <c r="C290">
        <v>7</v>
      </c>
      <c r="D290">
        <f t="shared" si="4"/>
        <v>1</v>
      </c>
    </row>
    <row r="291" spans="1:4" x14ac:dyDescent="0.3">
      <c r="A291" s="18">
        <v>5.28E-2</v>
      </c>
      <c r="B291" s="17" t="s">
        <v>59</v>
      </c>
      <c r="C291">
        <v>7</v>
      </c>
      <c r="D291">
        <f t="shared" si="4"/>
        <v>1</v>
      </c>
    </row>
    <row r="292" spans="1:4" x14ac:dyDescent="0.3">
      <c r="A292" s="21">
        <v>2.1299999999999999E-2</v>
      </c>
      <c r="B292" s="20" t="s">
        <v>61</v>
      </c>
      <c r="C292">
        <v>7</v>
      </c>
      <c r="D292">
        <f t="shared" si="4"/>
        <v>1</v>
      </c>
    </row>
    <row r="293" spans="1:4" x14ac:dyDescent="0.3">
      <c r="A293" s="18">
        <v>8.5599999999999996E-2</v>
      </c>
      <c r="B293" s="17" t="s">
        <v>63</v>
      </c>
      <c r="C293">
        <v>7</v>
      </c>
      <c r="D293">
        <f t="shared" si="4"/>
        <v>1</v>
      </c>
    </row>
    <row r="294" spans="1:4" x14ac:dyDescent="0.3">
      <c r="A294" s="21">
        <v>2.1499999999999998E-2</v>
      </c>
      <c r="B294" s="20" t="s">
        <v>64</v>
      </c>
      <c r="C294">
        <v>7</v>
      </c>
      <c r="D294">
        <f t="shared" si="4"/>
        <v>1</v>
      </c>
    </row>
    <row r="295" spans="1:4" x14ac:dyDescent="0.3">
      <c r="A295" s="18">
        <v>4.3799999999999999E-2</v>
      </c>
      <c r="B295" s="17" t="s">
        <v>66</v>
      </c>
      <c r="C295">
        <v>7</v>
      </c>
      <c r="D295">
        <f t="shared" si="4"/>
        <v>1</v>
      </c>
    </row>
    <row r="296" spans="1:4" x14ac:dyDescent="0.3">
      <c r="A296" s="22">
        <v>0.1953</v>
      </c>
      <c r="B296" s="20" t="s">
        <v>20</v>
      </c>
      <c r="C296">
        <v>8</v>
      </c>
      <c r="D296">
        <f t="shared" si="4"/>
        <v>1</v>
      </c>
    </row>
    <row r="297" spans="1:4" x14ac:dyDescent="0.3">
      <c r="A297" s="19">
        <v>0.21560000000000001</v>
      </c>
      <c r="B297" s="17" t="s">
        <v>21</v>
      </c>
      <c r="C297">
        <v>8</v>
      </c>
      <c r="D297">
        <f t="shared" si="4"/>
        <v>1</v>
      </c>
    </row>
    <row r="298" spans="1:4" x14ac:dyDescent="0.3">
      <c r="A298" s="22">
        <v>0.19600000000000001</v>
      </c>
      <c r="B298" s="20" t="s">
        <v>22</v>
      </c>
      <c r="C298">
        <v>8</v>
      </c>
      <c r="D298">
        <f t="shared" si="4"/>
        <v>1</v>
      </c>
    </row>
    <row r="299" spans="1:4" x14ac:dyDescent="0.3">
      <c r="A299" s="19">
        <v>6.9099999999999995E-2</v>
      </c>
      <c r="B299" s="17" t="s">
        <v>23</v>
      </c>
      <c r="C299">
        <v>8</v>
      </c>
      <c r="D299">
        <f t="shared" si="4"/>
        <v>1</v>
      </c>
    </row>
    <row r="300" spans="1:4" x14ac:dyDescent="0.3">
      <c r="A300" s="22">
        <v>0.25940000000000002</v>
      </c>
      <c r="B300" s="20" t="s">
        <v>24</v>
      </c>
      <c r="C300">
        <v>8</v>
      </c>
      <c r="D300">
        <f t="shared" si="4"/>
        <v>1</v>
      </c>
    </row>
    <row r="301" spans="1:4" x14ac:dyDescent="0.3">
      <c r="A301" s="19">
        <v>0.1082</v>
      </c>
      <c r="B301" s="17" t="s">
        <v>25</v>
      </c>
      <c r="C301">
        <v>8</v>
      </c>
      <c r="D301">
        <f t="shared" si="4"/>
        <v>1</v>
      </c>
    </row>
    <row r="302" spans="1:4" x14ac:dyDescent="0.3">
      <c r="A302" s="22">
        <v>0.21529999999999999</v>
      </c>
      <c r="B302" s="20" t="s">
        <v>26</v>
      </c>
      <c r="C302">
        <v>8</v>
      </c>
      <c r="D302">
        <f t="shared" si="4"/>
        <v>1</v>
      </c>
    </row>
    <row r="303" spans="1:4" x14ac:dyDescent="0.3">
      <c r="A303" s="19">
        <v>0.13969999999999999</v>
      </c>
      <c r="B303" s="17" t="s">
        <v>27</v>
      </c>
      <c r="C303">
        <v>8</v>
      </c>
      <c r="D303">
        <f t="shared" si="4"/>
        <v>1</v>
      </c>
    </row>
    <row r="304" spans="1:4" x14ac:dyDescent="0.3">
      <c r="A304" s="22">
        <v>0.32169999999999999</v>
      </c>
      <c r="B304" s="20" t="s">
        <v>28</v>
      </c>
      <c r="C304">
        <v>8</v>
      </c>
      <c r="D304">
        <f t="shared" si="4"/>
        <v>1</v>
      </c>
    </row>
    <row r="305" spans="1:4" x14ac:dyDescent="0.3">
      <c r="A305" s="19">
        <v>0.26879999999999998</v>
      </c>
      <c r="B305" s="17" t="s">
        <v>29</v>
      </c>
      <c r="C305">
        <v>8</v>
      </c>
      <c r="D305">
        <f t="shared" si="4"/>
        <v>1</v>
      </c>
    </row>
    <row r="306" spans="1:4" x14ac:dyDescent="0.3">
      <c r="A306" s="22">
        <v>0.16600000000000001</v>
      </c>
      <c r="B306" s="20" t="s">
        <v>30</v>
      </c>
      <c r="C306">
        <v>8</v>
      </c>
      <c r="D306">
        <f t="shared" si="4"/>
        <v>1</v>
      </c>
    </row>
    <row r="307" spans="1:4" x14ac:dyDescent="0.3">
      <c r="A307" s="19">
        <v>0.20569999999999999</v>
      </c>
      <c r="B307" s="17" t="s">
        <v>32</v>
      </c>
      <c r="C307">
        <v>8</v>
      </c>
      <c r="D307">
        <f t="shared" si="4"/>
        <v>1</v>
      </c>
    </row>
    <row r="308" spans="1:4" x14ac:dyDescent="0.3">
      <c r="A308" s="22">
        <v>0.1024</v>
      </c>
      <c r="B308" s="20" t="s">
        <v>33</v>
      </c>
      <c r="C308">
        <v>8</v>
      </c>
      <c r="D308">
        <f t="shared" si="4"/>
        <v>1</v>
      </c>
    </row>
    <row r="309" spans="1:4" x14ac:dyDescent="0.3">
      <c r="A309" s="19">
        <v>0.27579999999999999</v>
      </c>
      <c r="B309" s="17" t="s">
        <v>34</v>
      </c>
      <c r="C309">
        <v>8</v>
      </c>
      <c r="D309">
        <f t="shared" si="4"/>
        <v>1</v>
      </c>
    </row>
    <row r="310" spans="1:4" x14ac:dyDescent="0.3">
      <c r="A310" s="22">
        <v>0.28179999999999999</v>
      </c>
      <c r="B310" s="20" t="s">
        <v>35</v>
      </c>
      <c r="C310">
        <v>8</v>
      </c>
      <c r="D310">
        <f t="shared" si="4"/>
        <v>1</v>
      </c>
    </row>
    <row r="311" spans="1:4" x14ac:dyDescent="0.3">
      <c r="A311" s="19">
        <v>0.13900000000000001</v>
      </c>
      <c r="B311" s="17" t="s">
        <v>36</v>
      </c>
      <c r="C311">
        <v>8</v>
      </c>
      <c r="D311">
        <f t="shared" si="4"/>
        <v>1</v>
      </c>
    </row>
    <row r="312" spans="1:4" x14ac:dyDescent="0.3">
      <c r="A312" s="22">
        <v>0.1232</v>
      </c>
      <c r="B312" s="20" t="s">
        <v>37</v>
      </c>
      <c r="C312">
        <v>8</v>
      </c>
      <c r="D312">
        <f t="shared" si="4"/>
        <v>1</v>
      </c>
    </row>
    <row r="313" spans="1:4" x14ac:dyDescent="0.3">
      <c r="A313" s="19">
        <v>0.2046</v>
      </c>
      <c r="B313" s="17" t="s">
        <v>38</v>
      </c>
      <c r="C313">
        <v>8</v>
      </c>
      <c r="D313">
        <f t="shared" si="4"/>
        <v>1</v>
      </c>
    </row>
    <row r="314" spans="1:4" x14ac:dyDescent="0.3">
      <c r="A314" s="22">
        <v>1.6E-2</v>
      </c>
      <c r="B314" s="20" t="s">
        <v>39</v>
      </c>
      <c r="C314">
        <v>8</v>
      </c>
      <c r="D314">
        <f t="shared" si="4"/>
        <v>1</v>
      </c>
    </row>
    <row r="315" spans="1:4" x14ac:dyDescent="0.3">
      <c r="A315" s="19">
        <v>0.28999999999999998</v>
      </c>
      <c r="B315" s="17" t="s">
        <v>40</v>
      </c>
      <c r="C315">
        <v>8</v>
      </c>
      <c r="D315">
        <f t="shared" si="4"/>
        <v>1</v>
      </c>
    </row>
    <row r="316" spans="1:4" x14ac:dyDescent="0.3">
      <c r="A316" s="22">
        <v>0.29139999999999999</v>
      </c>
      <c r="B316" s="20" t="s">
        <v>41</v>
      </c>
      <c r="C316">
        <v>8</v>
      </c>
      <c r="D316">
        <f t="shared" si="4"/>
        <v>1</v>
      </c>
    </row>
    <row r="317" spans="1:4" x14ac:dyDescent="0.3">
      <c r="A317" s="19">
        <v>0.24360000000000001</v>
      </c>
      <c r="B317" s="17" t="s">
        <v>42</v>
      </c>
      <c r="C317">
        <v>8</v>
      </c>
      <c r="D317">
        <f t="shared" si="4"/>
        <v>1</v>
      </c>
    </row>
    <row r="318" spans="1:4" x14ac:dyDescent="0.3">
      <c r="A318" s="22">
        <v>5.3600000000000002E-2</v>
      </c>
      <c r="B318" s="20" t="s">
        <v>43</v>
      </c>
      <c r="C318">
        <v>8</v>
      </c>
      <c r="D318">
        <f t="shared" si="4"/>
        <v>1</v>
      </c>
    </row>
    <row r="319" spans="1:4" x14ac:dyDescent="0.3">
      <c r="A319" s="19">
        <v>0.22259999999999999</v>
      </c>
      <c r="B319" s="17" t="s">
        <v>44</v>
      </c>
      <c r="C319">
        <v>8</v>
      </c>
      <c r="D319">
        <f t="shared" si="4"/>
        <v>1</v>
      </c>
    </row>
    <row r="320" spans="1:4" x14ac:dyDescent="0.3">
      <c r="A320" s="22">
        <v>5.1799999999999999E-2</v>
      </c>
      <c r="B320" s="20" t="s">
        <v>45</v>
      </c>
      <c r="C320">
        <v>8</v>
      </c>
      <c r="D320">
        <f t="shared" si="4"/>
        <v>1</v>
      </c>
    </row>
    <row r="321" spans="1:4" x14ac:dyDescent="0.3">
      <c r="A321" s="19">
        <v>0.1022</v>
      </c>
      <c r="B321" s="17" t="s">
        <v>46</v>
      </c>
      <c r="C321">
        <v>8</v>
      </c>
      <c r="D321">
        <f t="shared" si="4"/>
        <v>1</v>
      </c>
    </row>
    <row r="322" spans="1:4" x14ac:dyDescent="0.3">
      <c r="A322" s="22">
        <v>0.115</v>
      </c>
      <c r="B322" s="20" t="s">
        <v>47</v>
      </c>
      <c r="C322">
        <v>8</v>
      </c>
      <c r="D322">
        <f t="shared" ref="D322:D337" si="5">IF(C322&gt;5,1,0)</f>
        <v>1</v>
      </c>
    </row>
    <row r="323" spans="1:4" x14ac:dyDescent="0.3">
      <c r="A323" s="19">
        <v>0.1077</v>
      </c>
      <c r="B323" s="17" t="s">
        <v>48</v>
      </c>
      <c r="C323">
        <v>8</v>
      </c>
      <c r="D323">
        <f t="shared" si="5"/>
        <v>1</v>
      </c>
    </row>
    <row r="324" spans="1:4" x14ac:dyDescent="0.3">
      <c r="A324" s="22">
        <v>8.4099999999999994E-2</v>
      </c>
      <c r="B324" s="20" t="s">
        <v>49</v>
      </c>
      <c r="C324">
        <v>8</v>
      </c>
      <c r="D324">
        <f t="shared" si="5"/>
        <v>1</v>
      </c>
    </row>
    <row r="325" spans="1:4" x14ac:dyDescent="0.3">
      <c r="A325" s="19">
        <v>5.33E-2</v>
      </c>
      <c r="B325" s="17" t="s">
        <v>50</v>
      </c>
      <c r="C325">
        <v>8</v>
      </c>
      <c r="D325">
        <f t="shared" si="5"/>
        <v>1</v>
      </c>
    </row>
    <row r="326" spans="1:4" x14ac:dyDescent="0.3">
      <c r="A326" s="22">
        <v>0.14560000000000001</v>
      </c>
      <c r="B326" s="20" t="s">
        <v>51</v>
      </c>
      <c r="C326">
        <v>8</v>
      </c>
      <c r="D326">
        <f t="shared" si="5"/>
        <v>1</v>
      </c>
    </row>
    <row r="327" spans="1:4" x14ac:dyDescent="0.3">
      <c r="A327" s="19">
        <v>8.0600000000000005E-2</v>
      </c>
      <c r="B327" s="17" t="s">
        <v>52</v>
      </c>
      <c r="C327">
        <v>8</v>
      </c>
      <c r="D327">
        <f t="shared" si="5"/>
        <v>1</v>
      </c>
    </row>
    <row r="328" spans="1:4" x14ac:dyDescent="0.3">
      <c r="A328" s="22">
        <v>0.307508</v>
      </c>
      <c r="B328" s="20" t="s">
        <v>53</v>
      </c>
      <c r="C328">
        <v>8</v>
      </c>
      <c r="D328">
        <f>IF(C328&gt;5,1,0)</f>
        <v>1</v>
      </c>
    </row>
    <row r="329" spans="1:4" x14ac:dyDescent="0.3">
      <c r="A329" s="19">
        <v>0.105</v>
      </c>
      <c r="B329" s="17" t="s">
        <v>55</v>
      </c>
      <c r="C329">
        <v>8</v>
      </c>
      <c r="D329">
        <f t="shared" si="5"/>
        <v>1</v>
      </c>
    </row>
    <row r="330" spans="1:4" x14ac:dyDescent="0.3">
      <c r="A330" s="22">
        <v>4.2500000000000003E-2</v>
      </c>
      <c r="B330" s="20" t="s">
        <v>56</v>
      </c>
      <c r="C330">
        <v>8</v>
      </c>
      <c r="D330">
        <f t="shared" si="5"/>
        <v>1</v>
      </c>
    </row>
    <row r="331" spans="1:4" x14ac:dyDescent="0.3">
      <c r="A331" s="19">
        <v>8.6999999999999994E-2</v>
      </c>
      <c r="B331" s="17" t="s">
        <v>57</v>
      </c>
      <c r="C331">
        <v>8</v>
      </c>
      <c r="D331">
        <f t="shared" si="5"/>
        <v>1</v>
      </c>
    </row>
    <row r="332" spans="1:4" x14ac:dyDescent="0.3">
      <c r="A332" s="22">
        <v>0.14360000000000001</v>
      </c>
      <c r="B332" s="20" t="s">
        <v>58</v>
      </c>
      <c r="C332">
        <v>8</v>
      </c>
      <c r="D332">
        <f t="shared" si="5"/>
        <v>1</v>
      </c>
    </row>
    <row r="333" spans="1:4" x14ac:dyDescent="0.3">
      <c r="A333" s="19">
        <v>1.23E-2</v>
      </c>
      <c r="B333" s="17" t="s">
        <v>59</v>
      </c>
      <c r="C333">
        <v>8</v>
      </c>
      <c r="D333">
        <f t="shared" si="5"/>
        <v>1</v>
      </c>
    </row>
    <row r="334" spans="1:4" x14ac:dyDescent="0.3">
      <c r="A334" s="22">
        <v>2.2499999999999999E-2</v>
      </c>
      <c r="B334" s="20" t="s">
        <v>61</v>
      </c>
      <c r="C334">
        <v>8</v>
      </c>
      <c r="D334">
        <f t="shared" si="5"/>
        <v>1</v>
      </c>
    </row>
    <row r="335" spans="1:4" x14ac:dyDescent="0.3">
      <c r="A335" s="19">
        <v>8.7900000000000006E-2</v>
      </c>
      <c r="B335" s="17" t="s">
        <v>63</v>
      </c>
      <c r="C335">
        <v>8</v>
      </c>
      <c r="D335">
        <f t="shared" si="5"/>
        <v>1</v>
      </c>
    </row>
    <row r="336" spans="1:4" x14ac:dyDescent="0.3">
      <c r="A336" s="22">
        <v>1.41E-2</v>
      </c>
      <c r="B336" s="20" t="s">
        <v>64</v>
      </c>
      <c r="C336">
        <v>8</v>
      </c>
      <c r="D336">
        <f t="shared" si="5"/>
        <v>1</v>
      </c>
    </row>
    <row r="337" spans="1:4" x14ac:dyDescent="0.3">
      <c r="A337" s="19">
        <v>7.3499999999999996E-2</v>
      </c>
      <c r="B337" s="17" t="s">
        <v>66</v>
      </c>
      <c r="C337">
        <v>8</v>
      </c>
      <c r="D337">
        <f t="shared" si="5"/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Sviatoslav Cherniak</cp:lastModifiedBy>
  <dcterms:created xsi:type="dcterms:W3CDTF">2026-02-04T13:17:01Z</dcterms:created>
  <dcterms:modified xsi:type="dcterms:W3CDTF">2026-02-05T22:45:14Z</dcterms:modified>
</cp:coreProperties>
</file>